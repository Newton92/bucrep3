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Issa PEROU\Documents\Documents\Bilans Divers\"/>
    </mc:Choice>
  </mc:AlternateContent>
  <xr:revisionPtr revIDLastSave="0" documentId="8_{5F7C1316-CA7A-4B87-9CC8-8925C78C3684}" xr6:coauthVersionLast="47" xr6:coauthVersionMax="47" xr10:uidLastSave="{00000000-0000-0000-0000-000000000000}"/>
  <bookViews>
    <workbookView xWindow="1920" yWindow="0" windowWidth="18996" windowHeight="13680" activeTab="3" xr2:uid="{00000000-000D-0000-FFFF-FFFF00000000}"/>
  </bookViews>
  <sheets>
    <sheet name="Bilan-18" sheetId="3" r:id="rId1"/>
    <sheet name="CR-18" sheetId="4" r:id="rId2"/>
    <sheet name="Ratios" sheetId="5" r:id="rId3"/>
    <sheet name="SCORING AVEC BILAN" sheetId="6" r:id="rId4"/>
    <sheet name="SCORING SANS BILAN" sheetId="7" r:id="rId5"/>
  </sheets>
  <externalReferences>
    <externalReference r:id="rId6"/>
    <externalReference r:id="rId7"/>
    <externalReference r:id="rId8"/>
    <externalReference r:id="rId9"/>
    <externalReference r:id="rId10"/>
  </externalReferences>
  <definedNames>
    <definedName name="_2.5__NRL">#REF!</definedName>
    <definedName name="a">#REF!</definedName>
    <definedName name="Accountancy_Fees">#REF!</definedName>
    <definedName name="Advert">#REF!</definedName>
    <definedName name="Answer_E2">[1]Questions!$G$107</definedName>
    <definedName name="Answer_E2_Range2">[1]Questions!$G$108</definedName>
    <definedName name="Answer_Eapp01">[2]Questions!$G$87</definedName>
    <definedName name="Answer_EB2">[2]Questions!$G$247</definedName>
    <definedName name="Answer_F2">[1]Questions!$G$114</definedName>
    <definedName name="Answer_F2_Range2">[1]Questions!$G$115</definedName>
    <definedName name="Answer_F2_Range3">[1]Questions!$G$116</definedName>
    <definedName name="Answer_Fapp01">[2]Questions!$G$97</definedName>
    <definedName name="Answer_FB2">[2]Questions!$G$250</definedName>
    <definedName name="Answer_G2">[1]Questions!$G$123</definedName>
    <definedName name="Answer_H2">[1]Questions!$G$129</definedName>
    <definedName name="Answer_H2_Range2">[1]Questions!#REF!</definedName>
    <definedName name="Answer_HB2">[2]Questions!$G$254</definedName>
    <definedName name="Answer_I2">[1]Questions!$G$135</definedName>
    <definedName name="Answer_I2_Range2">[1]Questions!$G$136</definedName>
    <definedName name="Answer_I2_Range3">[1]Questions!$G$137</definedName>
    <definedName name="Answer_I2_Range4">[1]Questions!$G$138</definedName>
    <definedName name="Answer_IB2">[2]Questions!$G$257</definedName>
    <definedName name="Answer_J2">[1]Questions!$G$147</definedName>
    <definedName name="Answer_J2_Range2">[1]Questions!$G$148</definedName>
    <definedName name="Answer_J2_Range3">[1]Questions!$G$149</definedName>
    <definedName name="Answer_J2_Range4">[1]Questions!$G$152</definedName>
    <definedName name="Answer_Japp03">[2]Questions!$G$133</definedName>
    <definedName name="Answer_K2">[1]Questions!$G$159</definedName>
    <definedName name="Answer_K2_Range2">[1]Questions!$G$160</definedName>
    <definedName name="Answer_Kapp01">[2]Questions!$G$141</definedName>
    <definedName name="Answer_L2">[1]Questions!$G$166</definedName>
    <definedName name="Answer_L2_Range2">[1]Questions!$G$167</definedName>
    <definedName name="Answer_L2_Range3">[1]Questions!$G$168</definedName>
    <definedName name="Answer_L2_Range4">[1]Questions!$G$171</definedName>
    <definedName name="Answer_Lapp03">[2]Questions!$G$154</definedName>
    <definedName name="Answer_M2">[1]Questions!$G$178</definedName>
    <definedName name="Answer_Mapp01">[2]Questions!$G$161</definedName>
    <definedName name="Answer_N2">[1]Questions!$G$184</definedName>
    <definedName name="Answer_Napp01">[2]Questions!$G$168</definedName>
    <definedName name="Answer_O2">[1]Questions!$G$193</definedName>
    <definedName name="Answer_Oapp01">[2]Questions!$G$177</definedName>
    <definedName name="Answer_P2">[1]Questions!$G$200</definedName>
    <definedName name="Answer_Papp01">[2]Questions!$G$184</definedName>
    <definedName name="Answer_R2">[1]Questions!$G$209</definedName>
    <definedName name="Answer_R2_Range2">[1]Questions!$G$210</definedName>
    <definedName name="Answer_R2_Range3">[1]Questions!$G$211</definedName>
    <definedName name="Answer_R2_Range4">[1]Questions!$G$212</definedName>
    <definedName name="Answer_Rapp01">[2]Questions!$G$196</definedName>
    <definedName name="Answer_S2">[1]Questions!$G$224</definedName>
    <definedName name="Answer_T2">[1]Questions!$G$231</definedName>
    <definedName name="Answer_U2">[1]Questions!$G$240</definedName>
    <definedName name="Answer_V2">[1]Questions!$G$247</definedName>
    <definedName name="Answer_W2">[1]Questions!$G$254</definedName>
    <definedName name="AskToRefreshProgrammesOnSave">FALSE</definedName>
    <definedName name="assets">#REF!</definedName>
    <definedName name="ATopicSelected">[1]Questions!$I$7:$I$8</definedName>
    <definedName name="ATopicSelected_Yes">[1]Questions!$I$7</definedName>
    <definedName name="Audit_Fees">#REF!</definedName>
    <definedName name="Bank_Charges">#REF!</definedName>
    <definedName name="Bank_Loan">#REF!</definedName>
    <definedName name="Business_Promotion">#REF!</definedName>
    <definedName name="Cleaning_S_tation">#REF!</definedName>
    <definedName name="Client_FileNo_Desc">[1]Questions!$L$10</definedName>
    <definedName name="Client_Name_Desc">[1]Questions!$L$8</definedName>
    <definedName name="Client_YearEnd_Desc">[1]Questions!$L$9</definedName>
    <definedName name="CLOSING">#REF!</definedName>
    <definedName name="Commission">#REF!</definedName>
    <definedName name="Company_Tax">#REF!</definedName>
    <definedName name="Creditors">#REF!</definedName>
    <definedName name="d">#REF!</definedName>
    <definedName name="Director_s_Account">#REF!</definedName>
    <definedName name="Director_s_Fees_Tax">#REF!</definedName>
    <definedName name="Director_s_Loan">#REF!</definedName>
    <definedName name="Directors_Fees">#REF!</definedName>
    <definedName name="Directors_Rmtion">#REF!</definedName>
    <definedName name="Donation">#REF!</definedName>
    <definedName name="Drawings">#REF!</definedName>
    <definedName name="Electricity_Water">#REF!</definedName>
    <definedName name="Entertainment">#REF!</definedName>
    <definedName name="ER">#REF!</definedName>
    <definedName name="EXC">#REF!</definedName>
    <definedName name="Freight_Charges">#REF!</definedName>
    <definedName name="Furniture___Fittings">#REF!</definedName>
    <definedName name="Group_H004">[1]Questions!#REF!</definedName>
    <definedName name="Group_Z001">[1]Questions!#REF!</definedName>
    <definedName name="Hiring_Charges">#REF!</definedName>
    <definedName name="Hotel_Charges">#REF!</definedName>
    <definedName name="Import_Duty">#REF!</definedName>
    <definedName name="Insurance">#REF!</definedName>
    <definedName name="Interest_Charges">#REF!</definedName>
    <definedName name="Interest_Received">#REF!</definedName>
    <definedName name="Investment">#REF!</definedName>
    <definedName name="Land___Building">#REF!</definedName>
    <definedName name="Loan_Repayment">#REF!</definedName>
    <definedName name="Medical_Expenses">#REF!</definedName>
    <definedName name="Motor_Vehicle">#REF!</definedName>
    <definedName name="Office_Equipment">#REF!</definedName>
    <definedName name="Office_Expenses">#REF!</definedName>
    <definedName name="Other_Income">#REF!</definedName>
    <definedName name="Overseas_Travel">#REF!</definedName>
    <definedName name="PAYE">#REF!</definedName>
    <definedName name="Plant___Machinery">#REF!</definedName>
    <definedName name="Printing___Stationery">#REF!</definedName>
    <definedName name="Professional_Fee">#REF!</definedName>
    <definedName name="Purchases">#REF!</definedName>
    <definedName name="RATE">#REF!</definedName>
    <definedName name="Receipt_from_Debtors">#REF!</definedName>
    <definedName name="Registration___License">#REF!</definedName>
    <definedName name="Rent_Rates">#REF!</definedName>
    <definedName name="Rent_Received">#REF!</definedName>
    <definedName name="Repairs_Maint_ce">#REF!</definedName>
    <definedName name="Salaries___Wages">#REF!</definedName>
    <definedName name="Sales">#REF!</definedName>
    <definedName name="Security_Services">#REF!</definedName>
    <definedName name="SSNIT">#REF!</definedName>
    <definedName name="Staff_Bonus">#REF!</definedName>
    <definedName name="Staff_Loan">#REF!</definedName>
    <definedName name="Staff_Training">#REF!</definedName>
    <definedName name="Subscription">#REF!</definedName>
    <definedName name="Telephone_Postage">#REF!</definedName>
    <definedName name="TrailBal_Chart">[3]etb!$B$5:$P$282</definedName>
    <definedName name="Transport_Travel">#REF!</definedName>
    <definedName name="VAT">#REF!</definedName>
    <definedName name="Vehicle_Running">#REF!</definedName>
    <definedName name="W.I.P">#REF!</definedName>
    <definedName name="Witholding_Ta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6" l="1"/>
  <c r="B39" i="6"/>
  <c r="B38" i="6"/>
  <c r="I12" i="7"/>
  <c r="J13" i="7" s="1"/>
  <c r="E37" i="6" l="1"/>
  <c r="F7" i="6" s="1"/>
  <c r="G7" i="6" s="1"/>
  <c r="H7" i="6" s="1"/>
  <c r="E9" i="4"/>
  <c r="E12" i="4" s="1"/>
  <c r="E15" i="4" s="1"/>
  <c r="E18" i="4" s="1"/>
  <c r="E21" i="4" s="1"/>
  <c r="D16" i="4"/>
  <c r="E16" i="4"/>
  <c r="H13" i="5"/>
  <c r="H15" i="5"/>
  <c r="H22" i="5"/>
  <c r="H8" i="5" l="1"/>
  <c r="E24" i="4"/>
  <c r="E39" i="3"/>
  <c r="D32" i="3"/>
  <c r="D42" i="3" s="1"/>
  <c r="G19" i="5" s="1"/>
  <c r="E32" i="3"/>
  <c r="E26" i="3"/>
  <c r="H7" i="5" s="1"/>
  <c r="D26" i="3"/>
  <c r="E15" i="3"/>
  <c r="E16" i="3" s="1"/>
  <c r="E17" i="3"/>
  <c r="E18" i="3"/>
  <c r="E7" i="3"/>
  <c r="E8" i="3" s="1"/>
  <c r="E9" i="3"/>
  <c r="G22" i="5"/>
  <c r="G28" i="5"/>
  <c r="G4" i="5" l="1"/>
  <c r="H16" i="5"/>
  <c r="H20" i="5"/>
  <c r="E19" i="3"/>
  <c r="H27" i="5" s="1"/>
  <c r="H9" i="5"/>
  <c r="H12" i="5"/>
  <c r="H25" i="5"/>
  <c r="H14" i="5"/>
  <c r="H26" i="5"/>
  <c r="H21" i="5"/>
  <c r="E42" i="3"/>
  <c r="H19" i="5" s="1"/>
  <c r="H28" i="5"/>
  <c r="H4" i="5"/>
  <c r="H3" i="5" l="1"/>
  <c r="F22" i="5"/>
  <c r="D19" i="4" l="1"/>
  <c r="C19" i="4"/>
  <c r="C16" i="4"/>
  <c r="B34" i="6" s="1"/>
  <c r="D13" i="4"/>
  <c r="C13" i="4"/>
  <c r="D10" i="4"/>
  <c r="C10" i="4"/>
  <c r="D7" i="4"/>
  <c r="D6" i="4"/>
  <c r="G13" i="5" s="1"/>
  <c r="C6" i="4"/>
  <c r="F13" i="5" s="1"/>
  <c r="D5" i="4"/>
  <c r="C5" i="4"/>
  <c r="B47" i="6" s="1"/>
  <c r="B51" i="6" s="1"/>
  <c r="C39" i="3"/>
  <c r="C32" i="3"/>
  <c r="C26" i="3"/>
  <c r="F28" i="5" s="1"/>
  <c r="D18" i="3"/>
  <c r="D17" i="3"/>
  <c r="D15" i="3"/>
  <c r="D16" i="3" s="1"/>
  <c r="C16" i="3"/>
  <c r="D9" i="3"/>
  <c r="C8" i="3"/>
  <c r="D7" i="3"/>
  <c r="D8" i="3" s="1"/>
  <c r="B55" i="6" l="1"/>
  <c r="E49" i="6"/>
  <c r="F10" i="6" s="1"/>
  <c r="G10" i="6" s="1"/>
  <c r="H10" i="6" s="1"/>
  <c r="B42" i="6"/>
  <c r="B54" i="6"/>
  <c r="F12" i="5"/>
  <c r="G20" i="5"/>
  <c r="D19" i="3"/>
  <c r="G27" i="5" s="1"/>
  <c r="G21" i="5"/>
  <c r="G9" i="5"/>
  <c r="G26" i="5"/>
  <c r="G12" i="5"/>
  <c r="G25" i="5"/>
  <c r="C9" i="4"/>
  <c r="F16" i="5"/>
  <c r="F15" i="5"/>
  <c r="F14" i="5"/>
  <c r="F20" i="5"/>
  <c r="D9" i="4"/>
  <c r="D12" i="4" s="1"/>
  <c r="D15" i="4" s="1"/>
  <c r="D18" i="4" s="1"/>
  <c r="D21" i="4" s="1"/>
  <c r="G14" i="5"/>
  <c r="G15" i="5"/>
  <c r="G16" i="5"/>
  <c r="F25" i="5"/>
  <c r="F21" i="5"/>
  <c r="F26" i="5"/>
  <c r="F4" i="5"/>
  <c r="F9" i="5"/>
  <c r="C19" i="3"/>
  <c r="F27" i="5" s="1"/>
  <c r="C42" i="3"/>
  <c r="B43" i="6" s="1"/>
  <c r="C12" i="4" l="1"/>
  <c r="C15" i="4" s="1"/>
  <c r="B46" i="6"/>
  <c r="E45" i="6" s="1"/>
  <c r="F9" i="6" s="1"/>
  <c r="G9" i="6" s="1"/>
  <c r="H9" i="6" s="1"/>
  <c r="E41" i="6"/>
  <c r="F8" i="6" s="1"/>
  <c r="G8" i="6" s="1"/>
  <c r="H8" i="6" s="1"/>
  <c r="E53" i="6"/>
  <c r="F11" i="6" s="1"/>
  <c r="G11" i="6" s="1"/>
  <c r="H11" i="6" s="1"/>
  <c r="G3" i="5"/>
  <c r="D24" i="4"/>
  <c r="G7" i="5"/>
  <c r="G8" i="5"/>
  <c r="F19" i="5"/>
  <c r="F3" i="5"/>
  <c r="C18" i="4" l="1"/>
  <c r="C21" i="4" s="1"/>
  <c r="B35" i="6"/>
  <c r="E33" i="6" s="1"/>
  <c r="F6" i="6" s="1"/>
  <c r="G6" i="6" s="1"/>
  <c r="H6" i="6" s="1"/>
  <c r="H18" i="6" s="1"/>
  <c r="M18" i="6" s="1"/>
  <c r="F8" i="5" l="1"/>
  <c r="F7" i="5"/>
  <c r="C24" i="4"/>
</calcChain>
</file>

<file path=xl/sharedStrings.xml><?xml version="1.0" encoding="utf-8"?>
<sst xmlns="http://schemas.openxmlformats.org/spreadsheetml/2006/main" count="267" uniqueCount="179">
  <si>
    <t>Notes</t>
  </si>
  <si>
    <t>--------</t>
  </si>
  <si>
    <t xml:space="preserve">                                                               </t>
  </si>
  <si>
    <t>====</t>
  </si>
  <si>
    <t>CF</t>
  </si>
  <si>
    <t>TB</t>
  </si>
  <si>
    <t>N-2</t>
  </si>
  <si>
    <t>N-1</t>
  </si>
  <si>
    <t>N</t>
  </si>
  <si>
    <t>Ratios</t>
  </si>
  <si>
    <t>Failure Score</t>
  </si>
  <si>
    <t>Grille</t>
  </si>
  <si>
    <t>This score is generated automatically through bucrep through the sumilations of the following items: The premises, Age of the company, Payment behaviour, Commercial opinion, Code Nace. The elements of the score grid have been weighted according to their degree of importance in the calculation of the risk. Credit Rating: 10 	Excellent risk, 9 	Very low risk, 8 	Low risk, 7 	Moderate risk, 6 	Acceptable risk, 5 	Medium high risk, 4 	Significant risk, 3 	High risk , 2 	Very high risk of insolvency, 1 	Extremely high risk of insolvency, 0 	Insolvency/preliminary/debt regulation proceedings</t>
  </si>
  <si>
    <t>Normal</t>
  </si>
  <si>
    <t>Insolvency/preliminary/debt regulation proceedings</t>
  </si>
  <si>
    <t>Very High Risk</t>
  </si>
  <si>
    <t>Medium High Risk</t>
  </si>
  <si>
    <t>Low Risk</t>
  </si>
  <si>
    <t>↑</t>
  </si>
  <si>
    <t>AUTOMATIC SCORE</t>
  </si>
  <si>
    <t>0;50</t>
  </si>
  <si>
    <t>Manifacture</t>
  </si>
  <si>
    <t>Services</t>
  </si>
  <si>
    <t>ACREMAC FAILURE SCORE</t>
  </si>
  <si>
    <t>BORNES</t>
  </si>
  <si>
    <t>Coeff. (1)</t>
  </si>
  <si>
    <t>Ratio</t>
  </si>
  <si>
    <t>Contribution</t>
  </si>
  <si>
    <t xml:space="preserve"> </t>
  </si>
  <si>
    <t>limited (2)</t>
  </si>
  <si>
    <t>(1 X 2)</t>
  </si>
  <si>
    <t>-</t>
  </si>
  <si>
    <t>Constant</t>
  </si>
  <si>
    <t>[0*;100]</t>
  </si>
  <si>
    <t>R1 = Financial expenses / EBITDA</t>
  </si>
  <si>
    <t>[0;200]</t>
  </si>
  <si>
    <t>R2 = (Receivables+disposables)/Creditors CT</t>
  </si>
  <si>
    <t>[-25;100]</t>
  </si>
  <si>
    <t>R3 = Permanent capital / Liabilities</t>
  </si>
  <si>
    <t>[0;100]</t>
  </si>
  <si>
    <t>R4 = VA / AC</t>
  </si>
  <si>
    <t>[-100;100]</t>
  </si>
  <si>
    <t>R5 = Cash / Sales (j)</t>
  </si>
  <si>
    <t>The crédit rating is expressed as an rating score with values of 0(Insolvency/preliminary/debt regulation proceedings) to 10 (excellent risk). The rating score denominates the probability of default for the company within 12 months from the date the rating score was set.  Credit Rating: 10 	Excellent risk, 9 	Very low risk, 8 	Low risk, 7 	Moderate risk, 6 	Acceptable risk, 5 	Medium high risk, 4 	Significant risk, 3 	High risk , 2 	Very high risk of insolvency, 1 	Extremely high risk of insolvency, 0 	Insolvency/preliminary/debt regulation proceedings</t>
  </si>
  <si>
    <t>[-100;150]</t>
  </si>
  <si>
    <t>R6 = Working capital / CA (j)</t>
  </si>
  <si>
    <t>* Negative values are brought back to the upper limit</t>
  </si>
  <si>
    <t>Value of SCORE</t>
  </si>
  <si>
    <t>AUTOMATIC SCORE N</t>
  </si>
  <si>
    <t>AUTOMATIC SCORE N-1</t>
  </si>
  <si>
    <t>Score Classes</t>
  </si>
  <si>
    <t>Probability of failure(%)</t>
  </si>
  <si>
    <t>Conclusions</t>
  </si>
  <si>
    <t>AUTOMATIC SCORE N-2</t>
  </si>
  <si>
    <t>S&lt;-4,01</t>
  </si>
  <si>
    <t>&gt;12,7</t>
  </si>
  <si>
    <t>MANUAL SCORE  N</t>
  </si>
  <si>
    <t>-4,01&lt;S&lt;-2,57</t>
  </si>
  <si>
    <t>6,00</t>
  </si>
  <si>
    <t>High risk (failure rate &gt;10%)</t>
  </si>
  <si>
    <t>MANUAL SCORE N-1</t>
  </si>
  <si>
    <t>-2,57&lt;S&lt;-1,00</t>
  </si>
  <si>
    <t>MANUAL SCORE N-2</t>
  </si>
  <si>
    <t>-1,00&lt;S&lt;0,28</t>
  </si>
  <si>
    <t>0,28&lt;S&lt;1,26</t>
  </si>
  <si>
    <t>Normal risk (default rate = 3%)</t>
  </si>
  <si>
    <t>Comment:</t>
  </si>
  <si>
    <t>1,26&lt;S&lt;2,10</t>
  </si>
  <si>
    <t>2,10&lt;S&lt;2,86</t>
  </si>
  <si>
    <t>2,86&lt;S&lt;3,68</t>
  </si>
  <si>
    <t>Low risk (failure rate &lt; 1%)</t>
  </si>
  <si>
    <t>3,68&lt;S&lt;4,83</t>
  </si>
  <si>
    <t>5,83&lt;S</t>
  </si>
  <si>
    <t>&lt;0,42</t>
  </si>
  <si>
    <t>FFI</t>
  </si>
  <si>
    <t>EBE</t>
  </si>
  <si>
    <t>R2 = (Receivables + Cash) / Liabilities CT</t>
  </si>
  <si>
    <t>Cré+disp net</t>
  </si>
  <si>
    <t>CT debts</t>
  </si>
  <si>
    <t>Permanent course</t>
  </si>
  <si>
    <t>Liabilities</t>
  </si>
  <si>
    <t>VA</t>
  </si>
  <si>
    <t>CA</t>
  </si>
  <si>
    <t>Treasury</t>
  </si>
  <si>
    <t>CA (j)</t>
  </si>
  <si>
    <t>FDR</t>
  </si>
  <si>
    <t xml:space="preserve">État de la situation financière </t>
  </si>
  <si>
    <t xml:space="preserve"> ACTIF </t>
  </si>
  <si>
    <t xml:space="preserve"> Actifs non courants </t>
  </si>
  <si>
    <t xml:space="preserve"> Biens, installations et équipements </t>
  </si>
  <si>
    <t xml:space="preserve"> Actifs courants </t>
  </si>
  <si>
    <t xml:space="preserve"> Inventaire </t>
  </si>
  <si>
    <t xml:space="preserve"> Créances commerciales et autres créances </t>
  </si>
  <si>
    <t xml:space="preserve"> Impôts </t>
  </si>
  <si>
    <t xml:space="preserve"> Caisse et banque </t>
  </si>
  <si>
    <t xml:space="preserve"> Total de l'actif circulant </t>
  </si>
  <si>
    <t xml:space="preserve"> Total de l'actif </t>
  </si>
  <si>
    <t xml:space="preserve"> CAPITAL ET PASSIF </t>
  </si>
  <si>
    <t xml:space="preserve"> Capital et Réserves </t>
  </si>
  <si>
    <t xml:space="preserve"> Capital déclaré </t>
  </si>
  <si>
    <t xml:space="preserve"> Bénéfices non distribués </t>
  </si>
  <si>
    <t xml:space="preserve"> Total des fonds propres </t>
  </si>
  <si>
    <t xml:space="preserve"> Passif à long terme </t>
  </si>
  <si>
    <t xml:space="preserve"> Prêt bancaire </t>
  </si>
  <si>
    <t xml:space="preserve"> Compte courant des administrateurs </t>
  </si>
  <si>
    <t xml:space="preserve"> Total du passif à long terme </t>
  </si>
  <si>
    <t xml:space="preserve"> Passifs courants </t>
  </si>
  <si>
    <t xml:space="preserve"> Dettes commerciales et autres dettes </t>
  </si>
  <si>
    <t xml:space="preserve"> Découvert bancaire </t>
  </si>
  <si>
    <t xml:space="preserve"> Total du passif à court terme </t>
  </si>
  <si>
    <t xml:space="preserve">État du résultat global </t>
  </si>
  <si>
    <t xml:space="preserve"> Produits des activités ordinaires </t>
  </si>
  <si>
    <t xml:space="preserve"> Coût des ventes </t>
  </si>
  <si>
    <t xml:space="preserve"> Coûts d'exploitation </t>
  </si>
  <si>
    <t xml:space="preserve"> Bénéfice brut </t>
  </si>
  <si>
    <t xml:space="preserve"> Frais de vente, généraux et administratifs </t>
  </si>
  <si>
    <t xml:space="preserve"> Bénéfice d'exploitation </t>
  </si>
  <si>
    <t xml:space="preserve"> Autres revenus </t>
  </si>
  <si>
    <t xml:space="preserve"> Bénéfice avant coût financier et impôts </t>
  </si>
  <si>
    <t xml:space="preserve"> Coût financier </t>
  </si>
  <si>
    <t xml:space="preserve"> Bénéfice avant impôts </t>
  </si>
  <si>
    <t xml:space="preserve"> Charge d'impôt sur le revenu </t>
  </si>
  <si>
    <t xml:space="preserve"> Bénéfice de l'année </t>
  </si>
  <si>
    <t xml:space="preserve"> Autres éléments du résultat global </t>
  </si>
  <si>
    <t>Solvabilité = Fonds propres / actif total (%)</t>
  </si>
  <si>
    <t>Autonomie financière = Fonds propres / capital permanent (%)</t>
  </si>
  <si>
    <t>RATIOS DE RENTABILITÉ ET DE LIQUIDITÉ</t>
  </si>
  <si>
    <t>Rendement des capitaux propres (ROE) : Bénéfice net / Fonds propres</t>
  </si>
  <si>
    <t>Taux de marge nette (TMN) : Bénéfice net / Chiffre d'affaires</t>
  </si>
  <si>
    <t>Liquidité générale : Actifs courants / Passifs courants</t>
  </si>
  <si>
    <t>RATIOS D'EFFICACITÉ</t>
  </si>
  <si>
    <t>Jours de recouvrement moyens (débiteurs divers/recettes d'exploitation * 365 jours)</t>
  </si>
  <si>
    <t xml:space="preserve"> Jours de paiement moyen (Créanciers divers/Achats * 365)</t>
  </si>
  <si>
    <t>Taux de rotation des créances (résultat d'exploitation/débiteurs divers)</t>
  </si>
  <si>
    <t>Taux de rotation des stocks (Résultat d'exploitation / Stocks)</t>
  </si>
  <si>
    <t>Taux de rotation des actifs (Résultat d'exploitation / Actifs immobilisés nets)</t>
  </si>
  <si>
    <t>RATIOS DE LEVIER FINANCIER</t>
  </si>
  <si>
    <t>Ratio d'endettement ((Emprunts + Dettes à court terme)/Actif total)</t>
  </si>
  <si>
    <t>Ratio d'endettement (Emprunts / Valeur nette)</t>
  </si>
  <si>
    <t>Passif à court terme / Valeur nette (Passif à court terme / Valeur nette)</t>
  </si>
  <si>
    <t>Ratio de couverture des intérêts (RBE / Charges financières)</t>
  </si>
  <si>
    <t>RATIOS DE SOLVABILITÉ</t>
  </si>
  <si>
    <t>Ratio de liquidité générale (actif à court terme / passif à court terme)</t>
  </si>
  <si>
    <t xml:space="preserve">Ratio de liquidité ((Actifs courants - Stocks) / Passifs courants) </t>
  </si>
  <si>
    <t>Ratio G-Score Financier (Valeur nette / Actif total)</t>
  </si>
  <si>
    <t>Ratio d'endettement G-Score (Dettes / Fonds propres)</t>
  </si>
  <si>
    <t xml:space="preserve">S1:Les locaux </t>
  </si>
  <si>
    <t>Propriétaire</t>
  </si>
  <si>
    <t>Locataire</t>
  </si>
  <si>
    <t xml:space="preserve">S2 : Forme juridique </t>
  </si>
  <si>
    <t>Société anonyme</t>
  </si>
  <si>
    <t>Société à responsabilité limitée(SARL</t>
  </si>
  <si>
    <t>Entreprise individuelle(EI)</t>
  </si>
  <si>
    <t>Société à responsabilité limitée unipersonnelle(SARL U)</t>
  </si>
  <si>
    <t>Succursale</t>
  </si>
  <si>
    <t>Organisme public</t>
  </si>
  <si>
    <t>Autre forme juridique</t>
  </si>
  <si>
    <t xml:space="preserve">S3 : Âge de l'entreprise </t>
  </si>
  <si>
    <t>Nouvelle entreprise</t>
  </si>
  <si>
    <t>≤ 2 ans</t>
  </si>
  <si>
    <t>2-4 ans</t>
  </si>
  <si>
    <t>5-6 ans</t>
  </si>
  <si>
    <t>7-8 ans</t>
  </si>
  <si>
    <t>9-10 ans</t>
  </si>
  <si>
    <t xml:space="preserve">             &lt; 10 ans</t>
  </si>
  <si>
    <t>S4 : Comportement de paiement</t>
  </si>
  <si>
    <t>A l'avance</t>
  </si>
  <si>
    <t>Dans les délais</t>
  </si>
  <si>
    <t>En retard</t>
  </si>
  <si>
    <t>Mauvais payeur</t>
  </si>
  <si>
    <t>Inconnu</t>
  </si>
  <si>
    <t>Plainte isolée</t>
  </si>
  <si>
    <t>S5 : Avis commercial</t>
  </si>
  <si>
    <t>Négatif</t>
  </si>
  <si>
    <t>Moyen</t>
  </si>
  <si>
    <t>Bon</t>
  </si>
  <si>
    <t>Très bonne</t>
  </si>
  <si>
    <t>S6 : Code Nace</t>
  </si>
  <si>
    <t>Commerce de gros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</si>
</sst>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_(* \(#,##0\);_(* &quot;-&quot;??_);_(@_)"/>
    <numFmt numFmtId="166" formatCode="0.000"/>
  </numFmts>
  <fonts count="38">
    <font>
      <sz val="10"/>
      <color theme="1"/>
      <name val="Calibri"/>
      <family val="2"/>
      <scheme val="minor"/>
    </font>
    <font>
      <sz val="11"/>
      <color theme="1"/>
      <name val="Calibri"/>
      <family val="2"/>
      <scheme val="minor"/>
    </font>
    <font>
      <sz val="11"/>
      <color theme="1"/>
      <name val="Calibri"/>
      <family val="2"/>
      <scheme val="minor"/>
    </font>
    <font>
      <b/>
      <sz val="12"/>
      <color rgb="FF000000"/>
      <name val="Garamond"/>
      <family val="1"/>
    </font>
    <font>
      <b/>
      <sz val="12"/>
      <color indexed="8"/>
      <name val="Garamond"/>
      <family val="1"/>
    </font>
    <font>
      <sz val="12"/>
      <color theme="1"/>
      <name val="Garamond"/>
      <family val="1"/>
    </font>
    <font>
      <sz val="12"/>
      <color indexed="8"/>
      <name val="Garamond"/>
      <family val="1"/>
    </font>
    <font>
      <b/>
      <sz val="12"/>
      <name val="Garamond"/>
      <family val="1"/>
    </font>
    <font>
      <sz val="12"/>
      <color theme="1"/>
      <name val="Calibri"/>
      <family val="2"/>
      <scheme val="minor"/>
    </font>
    <font>
      <sz val="10"/>
      <color theme="1"/>
      <name val="Calibri"/>
      <family val="2"/>
      <scheme val="minor"/>
    </font>
    <font>
      <sz val="10"/>
      <color rgb="FFFF0000"/>
      <name val="Calibri"/>
      <family val="2"/>
      <scheme val="minor"/>
    </font>
    <font>
      <b/>
      <sz val="10"/>
      <color theme="1"/>
      <name val="Calibri"/>
      <family val="2"/>
      <scheme val="minor"/>
    </font>
    <font>
      <b/>
      <sz val="11"/>
      <color theme="1"/>
      <name val="Calibri"/>
      <family val="2"/>
      <scheme val="minor"/>
    </font>
    <font>
      <sz val="10"/>
      <color rgb="FFFF0000"/>
      <name val="Arial"/>
      <family val="2"/>
    </font>
    <font>
      <sz val="10"/>
      <name val="Arial"/>
      <family val="2"/>
    </font>
    <font>
      <b/>
      <sz val="18"/>
      <color theme="1"/>
      <name val="Calibri"/>
      <family val="2"/>
      <scheme val="minor"/>
    </font>
    <font>
      <b/>
      <sz val="12"/>
      <color theme="1"/>
      <name val="Calibri"/>
      <family val="2"/>
      <scheme val="minor"/>
    </font>
    <font>
      <b/>
      <sz val="16"/>
      <color theme="0"/>
      <name val="Verdana"/>
      <family val="2"/>
    </font>
    <font>
      <b/>
      <sz val="16"/>
      <color theme="0"/>
      <name val="Calibri"/>
      <family val="2"/>
      <scheme val="minor"/>
    </font>
    <font>
      <sz val="11"/>
      <color indexed="8"/>
      <name val="Verdana"/>
      <family val="2"/>
    </font>
    <font>
      <b/>
      <sz val="14"/>
      <color theme="1"/>
      <name val="Calibri"/>
      <family val="2"/>
      <scheme val="minor"/>
    </font>
    <font>
      <b/>
      <sz val="9"/>
      <color theme="8" tint="-0.249977111117893"/>
      <name val="Verdana"/>
      <family val="2"/>
    </font>
    <font>
      <b/>
      <sz val="8"/>
      <color theme="8" tint="-0.249977111117893"/>
      <name val="Verdana"/>
      <family val="2"/>
    </font>
    <font>
      <b/>
      <sz val="8"/>
      <color theme="0"/>
      <name val="Verdana"/>
      <family val="2"/>
    </font>
    <font>
      <b/>
      <sz val="8"/>
      <color theme="0"/>
      <name val="Calibri"/>
      <family val="2"/>
      <scheme val="minor"/>
    </font>
    <font>
      <sz val="8"/>
      <color theme="1"/>
      <name val="Calibri"/>
      <family val="2"/>
      <scheme val="minor"/>
    </font>
    <font>
      <b/>
      <sz val="11"/>
      <color theme="8" tint="-0.249977111117893"/>
      <name val="Verdana"/>
      <family val="2"/>
    </font>
    <font>
      <b/>
      <sz val="11"/>
      <color theme="0"/>
      <name val="Verdana"/>
      <family val="2"/>
    </font>
    <font>
      <b/>
      <sz val="18"/>
      <color theme="0"/>
      <name val="Calibri"/>
      <family val="2"/>
    </font>
    <font>
      <sz val="11"/>
      <color theme="0"/>
      <name val="Verdana"/>
      <family val="2"/>
    </font>
    <font>
      <sz val="11"/>
      <color theme="1"/>
      <name val="Calibri"/>
      <family val="1"/>
      <scheme val="minor"/>
    </font>
    <font>
      <sz val="10"/>
      <name val="Geneva"/>
    </font>
    <font>
      <b/>
      <sz val="11"/>
      <color indexed="8"/>
      <name val="Verdana"/>
      <family val="2"/>
    </font>
    <font>
      <b/>
      <sz val="8"/>
      <color theme="8" tint="-0.249977111117893"/>
      <name val="Calibri"/>
      <family val="2"/>
      <scheme val="minor"/>
    </font>
    <font>
      <b/>
      <sz val="10"/>
      <name val="Geneva"/>
    </font>
    <font>
      <b/>
      <sz val="12"/>
      <color theme="0"/>
      <name val="Verdana"/>
      <family val="2"/>
    </font>
    <font>
      <b/>
      <sz val="12"/>
      <color theme="0"/>
      <name val="Calibri"/>
      <family val="2"/>
      <scheme val="minor"/>
    </font>
    <font>
      <b/>
      <sz val="9"/>
      <color indexed="8"/>
      <name val="Verdana"/>
      <family val="2"/>
    </font>
  </fonts>
  <fills count="9">
    <fill>
      <patternFill patternType="none"/>
    </fill>
    <fill>
      <patternFill patternType="gray125"/>
    </fill>
    <fill>
      <patternFill patternType="solid">
        <fgColor theme="8" tint="-0.249977111117893"/>
        <bgColor indexed="64"/>
      </patternFill>
    </fill>
    <fill>
      <patternFill patternType="solid">
        <fgColor rgb="FF00B0F0"/>
        <bgColor indexed="64"/>
      </patternFill>
    </fill>
    <fill>
      <patternFill patternType="solid">
        <fgColor theme="3" tint="0.59999389629810485"/>
        <bgColor indexed="64"/>
      </patternFill>
    </fill>
    <fill>
      <patternFill patternType="solid">
        <fgColor rgb="FFFF0000"/>
        <bgColor indexed="64"/>
      </patternFill>
    </fill>
    <fill>
      <patternFill patternType="solid">
        <fgColor theme="5"/>
        <bgColor indexed="64"/>
      </patternFill>
    </fill>
    <fill>
      <patternFill patternType="solid">
        <fgColor rgb="FF00B050"/>
        <bgColor indexed="64"/>
      </patternFill>
    </fill>
    <fill>
      <patternFill patternType="solid">
        <fgColor rgb="FFFFFF00"/>
        <bgColor indexed="64"/>
      </patternFill>
    </fill>
  </fills>
  <borders count="36">
    <border>
      <left/>
      <right/>
      <top/>
      <bottom/>
      <diagonal/>
    </border>
    <border>
      <left/>
      <right style="thick">
        <color theme="2"/>
      </right>
      <top/>
      <bottom/>
      <diagonal/>
    </border>
    <border>
      <left style="thin">
        <color indexed="64"/>
      </left>
      <right style="thin">
        <color indexed="64"/>
      </right>
      <top style="thin">
        <color indexed="64"/>
      </top>
      <bottom style="thin">
        <color indexed="64"/>
      </bottom>
      <diagonal/>
    </border>
    <border>
      <left/>
      <right/>
      <top/>
      <bottom style="thick">
        <color theme="2"/>
      </bottom>
      <diagonal/>
    </border>
    <border>
      <left style="thick">
        <color theme="2"/>
      </left>
      <right style="thin">
        <color indexed="64"/>
      </right>
      <top style="thick">
        <color theme="2"/>
      </top>
      <bottom style="thin">
        <color indexed="64"/>
      </bottom>
      <diagonal/>
    </border>
    <border>
      <left style="thin">
        <color indexed="64"/>
      </left>
      <right style="thin">
        <color indexed="64"/>
      </right>
      <top style="thick">
        <color theme="2"/>
      </top>
      <bottom style="thin">
        <color indexed="64"/>
      </bottom>
      <diagonal/>
    </border>
    <border>
      <left style="thin">
        <color indexed="64"/>
      </left>
      <right style="thick">
        <color theme="2"/>
      </right>
      <top style="thick">
        <color theme="2"/>
      </top>
      <bottom style="thin">
        <color indexed="64"/>
      </bottom>
      <diagonal/>
    </border>
    <border>
      <left style="thick">
        <color theme="2"/>
      </left>
      <right style="thin">
        <color indexed="64"/>
      </right>
      <top style="thin">
        <color indexed="64"/>
      </top>
      <bottom style="thin">
        <color indexed="64"/>
      </bottom>
      <diagonal/>
    </border>
    <border>
      <left style="thin">
        <color indexed="64"/>
      </left>
      <right style="thick">
        <color theme="2"/>
      </right>
      <top style="thin">
        <color indexed="64"/>
      </top>
      <bottom style="thin">
        <color indexed="64"/>
      </bottom>
      <diagonal/>
    </border>
    <border>
      <left style="thick">
        <color theme="2"/>
      </left>
      <right style="thin">
        <color indexed="64"/>
      </right>
      <top style="thin">
        <color indexed="64"/>
      </top>
      <bottom style="thick">
        <color theme="2"/>
      </bottom>
      <diagonal/>
    </border>
    <border>
      <left style="thin">
        <color indexed="64"/>
      </left>
      <right style="thin">
        <color indexed="64"/>
      </right>
      <top style="thin">
        <color indexed="64"/>
      </top>
      <bottom style="thick">
        <color theme="2"/>
      </bottom>
      <diagonal/>
    </border>
    <border>
      <left style="thin">
        <color indexed="64"/>
      </left>
      <right style="thick">
        <color theme="2"/>
      </right>
      <top style="thin">
        <color indexed="64"/>
      </top>
      <bottom style="thick">
        <color theme="2"/>
      </bottom>
      <diagonal/>
    </border>
    <border>
      <left style="thick">
        <color theme="2"/>
      </left>
      <right style="thick">
        <color theme="2"/>
      </right>
      <top/>
      <bottom style="thick">
        <color theme="2"/>
      </bottom>
      <diagonal/>
    </border>
    <border>
      <left style="thick">
        <color theme="2"/>
      </left>
      <right/>
      <top/>
      <bottom style="thick">
        <color theme="2"/>
      </bottom>
      <diagonal/>
    </border>
    <border>
      <left/>
      <right style="thick">
        <color theme="2"/>
      </right>
      <top/>
      <bottom style="thick">
        <color theme="2"/>
      </bottom>
      <diagonal/>
    </border>
    <border>
      <left style="thick">
        <color theme="2"/>
      </left>
      <right style="thick">
        <color theme="2"/>
      </right>
      <top style="thick">
        <color theme="2"/>
      </top>
      <bottom style="thick">
        <color theme="2"/>
      </bottom>
      <diagonal/>
    </border>
    <border>
      <left style="thick">
        <color theme="2"/>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medium">
        <color indexed="64"/>
      </bottom>
      <diagonal/>
    </border>
    <border>
      <left style="thick">
        <color theme="2"/>
      </left>
      <right/>
      <top style="thick">
        <color theme="2"/>
      </top>
      <bottom style="thick">
        <color theme="2"/>
      </bottom>
      <diagonal/>
    </border>
    <border>
      <left/>
      <right/>
      <top style="thick">
        <color theme="2"/>
      </top>
      <bottom style="thick">
        <color theme="2"/>
      </bottom>
      <diagonal/>
    </border>
    <border>
      <left/>
      <right style="thick">
        <color theme="2"/>
      </right>
      <top style="thick">
        <color theme="2"/>
      </top>
      <bottom style="thick">
        <color theme="2"/>
      </bottom>
      <diagonal/>
    </border>
    <border>
      <left style="thin">
        <color indexed="64"/>
      </left>
      <right/>
      <top/>
      <bottom/>
      <diagonal/>
    </border>
    <border>
      <left/>
      <right style="thin">
        <color indexed="64"/>
      </right>
      <top/>
      <bottom/>
      <diagonal/>
    </border>
  </borders>
  <cellStyleXfs count="4">
    <xf numFmtId="0" fontId="0" fillId="0" borderId="0"/>
    <xf numFmtId="164" fontId="2" fillId="0" borderId="0" applyFont="0" applyFill="0" applyBorder="0" applyAlignment="0" applyProtection="0"/>
    <xf numFmtId="0" fontId="2" fillId="0" borderId="0"/>
    <xf numFmtId="9" fontId="9" fillId="0" borderId="0" applyFont="0" applyFill="0" applyBorder="0" applyAlignment="0" applyProtection="0"/>
  </cellStyleXfs>
  <cellXfs count="170">
    <xf numFmtId="0" fontId="0" fillId="0" borderId="0" xfId="0"/>
    <xf numFmtId="164" fontId="3" fillId="0" borderId="0" xfId="1" applyFont="1" applyAlignment="1">
      <alignment horizontal="left" vertical="center"/>
    </xf>
    <xf numFmtId="0" fontId="3" fillId="0" borderId="0" xfId="2" applyFont="1" applyAlignment="1">
      <alignment horizontal="left" vertical="center"/>
    </xf>
    <xf numFmtId="0" fontId="4" fillId="0" borderId="0" xfId="2" applyFont="1" applyAlignment="1"/>
    <xf numFmtId="0" fontId="5" fillId="0" borderId="0" xfId="2" applyFont="1"/>
    <xf numFmtId="0" fontId="4" fillId="0" borderId="0" xfId="2" applyFont="1" applyAlignment="1">
      <alignment horizontal="left"/>
    </xf>
    <xf numFmtId="0" fontId="4" fillId="0" borderId="0" xfId="2" applyFont="1" applyAlignment="1">
      <alignment horizontal="right"/>
    </xf>
    <xf numFmtId="164" fontId="6" fillId="0" borderId="0" xfId="1" applyFont="1" applyAlignment="1">
      <alignment horizontal="left"/>
    </xf>
    <xf numFmtId="0" fontId="4" fillId="0" borderId="0" xfId="2" applyFont="1" applyAlignment="1">
      <alignment horizontal="center"/>
    </xf>
    <xf numFmtId="43" fontId="7" fillId="0" borderId="0" xfId="1" applyNumberFormat="1" applyFont="1" applyAlignment="1">
      <alignment horizontal="right"/>
    </xf>
    <xf numFmtId="164" fontId="4" fillId="0" borderId="0" xfId="1" applyFont="1" applyAlignment="1">
      <alignment horizontal="left"/>
    </xf>
    <xf numFmtId="165" fontId="6" fillId="0" borderId="0" xfId="2" applyNumberFormat="1" applyFont="1" applyAlignment="1">
      <alignment horizontal="right"/>
    </xf>
    <xf numFmtId="165" fontId="6" fillId="0" borderId="0" xfId="1" quotePrefix="1" applyNumberFormat="1" applyFont="1" applyAlignment="1">
      <alignment horizontal="right"/>
    </xf>
    <xf numFmtId="165" fontId="4" fillId="0" borderId="0" xfId="2" applyNumberFormat="1" applyFont="1" applyAlignment="1">
      <alignment horizontal="right"/>
    </xf>
    <xf numFmtId="165" fontId="4" fillId="0" borderId="0" xfId="1" applyNumberFormat="1" applyFont="1" applyAlignment="1">
      <alignment horizontal="right"/>
    </xf>
    <xf numFmtId="165" fontId="6" fillId="0" borderId="0" xfId="1" applyNumberFormat="1" applyFont="1" applyAlignment="1">
      <alignment horizontal="right"/>
    </xf>
    <xf numFmtId="165" fontId="6" fillId="0" borderId="0" xfId="1" quotePrefix="1" applyNumberFormat="1" applyFont="1" applyAlignment="1">
      <alignment horizontal="right" vertical="top"/>
    </xf>
    <xf numFmtId="164" fontId="5" fillId="0" borderId="0" xfId="1" applyFont="1" applyAlignment="1">
      <alignment horizontal="left"/>
    </xf>
    <xf numFmtId="0" fontId="5" fillId="0" borderId="0" xfId="2" applyFont="1" applyAlignment="1">
      <alignment horizontal="right"/>
    </xf>
    <xf numFmtId="164" fontId="5" fillId="0" borderId="0" xfId="1" applyFont="1"/>
    <xf numFmtId="164" fontId="0" fillId="0" borderId="0" xfId="1" applyFont="1"/>
    <xf numFmtId="0" fontId="2" fillId="0" borderId="0" xfId="2"/>
    <xf numFmtId="0" fontId="3" fillId="0" borderId="0" xfId="2" applyFont="1" applyAlignment="1">
      <alignment vertical="center"/>
    </xf>
    <xf numFmtId="0" fontId="8" fillId="0" borderId="0" xfId="2" applyFont="1"/>
    <xf numFmtId="164" fontId="7" fillId="0" borderId="0" xfId="1" applyFont="1" applyAlignment="1">
      <alignment horizontal="right"/>
    </xf>
    <xf numFmtId="165" fontId="8" fillId="0" borderId="0" xfId="2" applyNumberFormat="1" applyFont="1"/>
    <xf numFmtId="164" fontId="8" fillId="0" borderId="0" xfId="1" applyFont="1" applyAlignment="1">
      <alignment horizontal="left"/>
    </xf>
    <xf numFmtId="164" fontId="6" fillId="0" borderId="0" xfId="1" applyFont="1" applyAlignment="1"/>
    <xf numFmtId="164" fontId="5" fillId="0" borderId="0" xfId="1" applyFont="1" applyAlignment="1"/>
    <xf numFmtId="164" fontId="8" fillId="0" borderId="0" xfId="1" applyFont="1" applyAlignment="1"/>
    <xf numFmtId="164" fontId="0" fillId="0" borderId="0" xfId="1" applyFont="1" applyAlignment="1"/>
    <xf numFmtId="165" fontId="2" fillId="0" borderId="0" xfId="2" applyNumberFormat="1"/>
    <xf numFmtId="0" fontId="0" fillId="0" borderId="0" xfId="0" applyFont="1"/>
    <xf numFmtId="0" fontId="0" fillId="0" borderId="0" xfId="0" applyFont="1" applyAlignment="1">
      <alignment vertical="center"/>
    </xf>
    <xf numFmtId="0" fontId="12" fillId="0" borderId="0" xfId="0" applyFont="1" applyAlignment="1">
      <alignment vertical="center"/>
    </xf>
    <xf numFmtId="0" fontId="10" fillId="0" borderId="0" xfId="0" applyFont="1"/>
    <xf numFmtId="0" fontId="13" fillId="0" borderId="0" xfId="0" applyFont="1"/>
    <xf numFmtId="3" fontId="0" fillId="0" borderId="0" xfId="0" applyNumberFormat="1" applyAlignment="1">
      <alignment horizontal="center" vertical="center"/>
    </xf>
    <xf numFmtId="0" fontId="15" fillId="0" borderId="0" xfId="0" applyFont="1"/>
    <xf numFmtId="0" fontId="12" fillId="0" borderId="0" xfId="0" applyFont="1"/>
    <xf numFmtId="0" fontId="16" fillId="0" borderId="0" xfId="0" applyFont="1" applyAlignment="1">
      <alignment horizontal="center"/>
    </xf>
    <xf numFmtId="10" fontId="11" fillId="0" borderId="0" xfId="3" applyNumberFormat="1" applyFont="1" applyFill="1" applyAlignment="1">
      <alignment horizontal="center" vertical="center"/>
    </xf>
    <xf numFmtId="10" fontId="0" fillId="0" borderId="0" xfId="3" applyNumberFormat="1" applyFont="1" applyFill="1" applyAlignment="1">
      <alignment horizontal="center" vertical="center"/>
    </xf>
    <xf numFmtId="0" fontId="0" fillId="0" borderId="0" xfId="0" applyFill="1"/>
    <xf numFmtId="3" fontId="11" fillId="0" borderId="0" xfId="3" applyNumberFormat="1" applyFont="1" applyFill="1" applyAlignment="1">
      <alignment horizontal="center" vertical="center"/>
    </xf>
    <xf numFmtId="0" fontId="0" fillId="0" borderId="1" xfId="0" applyBorder="1"/>
    <xf numFmtId="0" fontId="19" fillId="0" borderId="0" xfId="0" applyFont="1"/>
    <xf numFmtId="0" fontId="12" fillId="0" borderId="2" xfId="0" applyFont="1" applyBorder="1" applyAlignment="1">
      <alignment horizontal="center" vertical="center"/>
    </xf>
    <xf numFmtId="0" fontId="0" fillId="3" borderId="0" xfId="0" applyFill="1"/>
    <xf numFmtId="0" fontId="12" fillId="0" borderId="2" xfId="0" applyFont="1" applyBorder="1" applyAlignment="1">
      <alignment vertical="center"/>
    </xf>
    <xf numFmtId="0" fontId="11" fillId="0" borderId="2" xfId="0" applyFont="1" applyBorder="1" applyAlignment="1">
      <alignment horizontal="center" vertical="center"/>
    </xf>
    <xf numFmtId="0" fontId="19" fillId="0" borderId="3" xfId="0" applyFont="1" applyBorder="1"/>
    <xf numFmtId="0" fontId="0" fillId="0" borderId="3" xfId="0" applyBorder="1"/>
    <xf numFmtId="0" fontId="0" fillId="0" borderId="2" xfId="0" applyBorder="1"/>
    <xf numFmtId="0" fontId="0" fillId="0" borderId="2" xfId="0" applyBorder="1" applyAlignment="1">
      <alignment horizontal="center" vertical="center"/>
    </xf>
    <xf numFmtId="0" fontId="1" fillId="0" borderId="2" xfId="0" applyFont="1" applyBorder="1" applyAlignment="1">
      <alignment vertical="center"/>
    </xf>
    <xf numFmtId="0" fontId="11" fillId="0" borderId="0" xfId="0" applyFont="1"/>
    <xf numFmtId="0" fontId="11" fillId="0" borderId="0" xfId="0" applyFont="1" applyAlignment="1">
      <alignment horizontal="center" vertical="center"/>
    </xf>
    <xf numFmtId="0" fontId="22" fillId="4" borderId="12" xfId="0" applyFont="1" applyFill="1" applyBorder="1" applyAlignment="1">
      <alignment horizontal="center" vertical="center" wrapText="1"/>
    </xf>
    <xf numFmtId="166" fontId="0" fillId="3" borderId="0" xfId="0" applyNumberFormat="1" applyFill="1"/>
    <xf numFmtId="0" fontId="26" fillId="4" borderId="15" xfId="0" applyFont="1" applyFill="1" applyBorder="1" applyAlignment="1">
      <alignment horizontal="center" vertical="center"/>
    </xf>
    <xf numFmtId="0" fontId="27" fillId="5" borderId="15" xfId="0" applyFont="1" applyFill="1" applyBorder="1" applyAlignment="1">
      <alignment horizontal="center" vertical="center"/>
    </xf>
    <xf numFmtId="0" fontId="27" fillId="6" borderId="15" xfId="0" applyFont="1" applyFill="1" applyBorder="1" applyAlignment="1">
      <alignment horizontal="center" vertical="center"/>
    </xf>
    <xf numFmtId="0" fontId="27" fillId="7" borderId="15" xfId="0" applyFont="1" applyFill="1" applyBorder="1" applyAlignment="1">
      <alignment horizontal="center" vertical="center"/>
    </xf>
    <xf numFmtId="0" fontId="28" fillId="0" borderId="0" xfId="0" applyFont="1" applyAlignment="1">
      <alignment horizontal="center"/>
    </xf>
    <xf numFmtId="0" fontId="0" fillId="0" borderId="2" xfId="0" applyBorder="1" applyAlignment="1">
      <alignment wrapText="1"/>
    </xf>
    <xf numFmtId="0" fontId="27" fillId="2" borderId="15" xfId="0" applyFont="1" applyFill="1" applyBorder="1" applyAlignment="1">
      <alignment vertical="center"/>
    </xf>
    <xf numFmtId="0" fontId="29" fillId="2" borderId="15" xfId="0" applyFont="1" applyFill="1" applyBorder="1"/>
    <xf numFmtId="2" fontId="19" fillId="8" borderId="16" xfId="0" applyNumberFormat="1" applyFont="1" applyFill="1" applyBorder="1"/>
    <xf numFmtId="0" fontId="11" fillId="0" borderId="2" xfId="0" applyFont="1" applyBorder="1" applyAlignment="1">
      <alignment horizontal="center"/>
    </xf>
    <xf numFmtId="2" fontId="29" fillId="0" borderId="0" xfId="0" applyNumberFormat="1" applyFont="1"/>
    <xf numFmtId="0" fontId="30" fillId="0" borderId="2" xfId="0" applyFont="1" applyBorder="1" applyAlignment="1">
      <alignment horizontal="left" vertical="top" indent="5"/>
    </xf>
    <xf numFmtId="0" fontId="1" fillId="0" borderId="2" xfId="0" applyFont="1" applyBorder="1" applyAlignment="1">
      <alignment horizontal="left" vertical="center" indent="5"/>
    </xf>
    <xf numFmtId="0" fontId="0" fillId="0" borderId="16" xfId="0" applyBorder="1"/>
    <xf numFmtId="0" fontId="1" fillId="0" borderId="2" xfId="0" applyFont="1" applyBorder="1"/>
    <xf numFmtId="0" fontId="0" fillId="0" borderId="0" xfId="0" applyAlignment="1">
      <alignment horizontal="center" vertical="center"/>
    </xf>
    <xf numFmtId="0" fontId="31" fillId="0" borderId="19" xfId="0" applyFont="1" applyBorder="1"/>
    <xf numFmtId="0" fontId="0" fillId="0" borderId="20" xfId="0" applyBorder="1"/>
    <xf numFmtId="0" fontId="0" fillId="0" borderId="21" xfId="0" applyBorder="1"/>
    <xf numFmtId="0" fontId="31" fillId="8" borderId="22" xfId="0" applyFont="1" applyFill="1" applyBorder="1"/>
    <xf numFmtId="0" fontId="31" fillId="8" borderId="23" xfId="0" applyFont="1" applyFill="1" applyBorder="1"/>
    <xf numFmtId="0" fontId="31" fillId="8" borderId="24" xfId="0" applyFont="1" applyFill="1" applyBorder="1"/>
    <xf numFmtId="0" fontId="31" fillId="8" borderId="25" xfId="0" applyFont="1" applyFill="1" applyBorder="1"/>
    <xf numFmtId="0" fontId="31" fillId="8" borderId="22" xfId="0" applyFont="1" applyFill="1" applyBorder="1" applyAlignment="1">
      <alignment horizontal="center"/>
    </xf>
    <xf numFmtId="0" fontId="31" fillId="0" borderId="0" xfId="0" applyFont="1"/>
    <xf numFmtId="0" fontId="31" fillId="8" borderId="26" xfId="0" applyFont="1" applyFill="1" applyBorder="1"/>
    <xf numFmtId="0" fontId="31" fillId="8" borderId="27" xfId="0" applyFont="1" applyFill="1" applyBorder="1"/>
    <xf numFmtId="0" fontId="31" fillId="8" borderId="17" xfId="0" applyFont="1" applyFill="1" applyBorder="1"/>
    <xf numFmtId="0" fontId="31" fillId="8" borderId="18" xfId="0" applyFont="1" applyFill="1" applyBorder="1"/>
    <xf numFmtId="0" fontId="31" fillId="8" borderId="26" xfId="0" applyFont="1" applyFill="1" applyBorder="1" applyAlignment="1">
      <alignment horizontal="center"/>
    </xf>
    <xf numFmtId="0" fontId="31" fillId="0" borderId="22" xfId="0" applyFont="1" applyBorder="1" applyAlignment="1">
      <alignment horizontal="center"/>
    </xf>
    <xf numFmtId="0" fontId="31" fillId="0" borderId="24" xfId="0" applyFont="1" applyBorder="1"/>
    <xf numFmtId="0" fontId="31" fillId="0" borderId="28" xfId="0" applyFont="1" applyBorder="1"/>
    <xf numFmtId="0" fontId="31" fillId="0" borderId="28" xfId="0" applyFont="1" applyBorder="1" applyAlignment="1">
      <alignment horizontal="right"/>
    </xf>
    <xf numFmtId="0" fontId="0" fillId="0" borderId="28" xfId="0" applyBorder="1"/>
    <xf numFmtId="2" fontId="0" fillId="0" borderId="28" xfId="0" applyNumberFormat="1" applyBorder="1" applyAlignment="1">
      <alignment horizontal="right"/>
    </xf>
    <xf numFmtId="0" fontId="0" fillId="0" borderId="29" xfId="0" applyBorder="1"/>
    <xf numFmtId="0" fontId="0" fillId="0" borderId="30" xfId="0" applyBorder="1"/>
    <xf numFmtId="2" fontId="0" fillId="0" borderId="29" xfId="0" applyNumberFormat="1" applyBorder="1" applyAlignment="1">
      <alignment horizontal="right"/>
    </xf>
    <xf numFmtId="2" fontId="0" fillId="0" borderId="0" xfId="0" applyNumberFormat="1" applyAlignment="1">
      <alignment horizontal="right"/>
    </xf>
    <xf numFmtId="0" fontId="22" fillId="4" borderId="15" xfId="0" applyFont="1" applyFill="1" applyBorder="1" applyAlignment="1">
      <alignment horizontal="center" vertical="center" wrapText="1"/>
    </xf>
    <xf numFmtId="0" fontId="34" fillId="8" borderId="0" xfId="0" applyFont="1" applyFill="1"/>
    <xf numFmtId="0" fontId="0" fillId="8" borderId="0" xfId="0" applyFill="1"/>
    <xf numFmtId="2" fontId="0" fillId="8" borderId="0" xfId="0" applyNumberFormat="1" applyFill="1"/>
    <xf numFmtId="2" fontId="19" fillId="8" borderId="15" xfId="0" applyNumberFormat="1" applyFont="1" applyFill="1" applyBorder="1"/>
    <xf numFmtId="0" fontId="0" fillId="0" borderId="17" xfId="0" applyBorder="1"/>
    <xf numFmtId="0" fontId="19" fillId="8" borderId="15" xfId="0" applyFont="1" applyFill="1" applyBorder="1"/>
    <xf numFmtId="0" fontId="12" fillId="8" borderId="34" xfId="0" applyFont="1" applyFill="1" applyBorder="1" applyAlignment="1">
      <alignment horizontal="centerContinuous"/>
    </xf>
    <xf numFmtId="0" fontId="12" fillId="8" borderId="0" xfId="0" applyFont="1" applyFill="1" applyAlignment="1">
      <alignment horizontal="centerContinuous"/>
    </xf>
    <xf numFmtId="0" fontId="12" fillId="8" borderId="34" xfId="0" applyFont="1" applyFill="1" applyBorder="1"/>
    <xf numFmtId="0" fontId="12" fillId="8" borderId="0" xfId="0" applyFont="1" applyFill="1"/>
    <xf numFmtId="0" fontId="12" fillId="8" borderId="35" xfId="0" applyFont="1" applyFill="1" applyBorder="1" applyAlignment="1">
      <alignment horizontal="centerContinuous"/>
    </xf>
    <xf numFmtId="0" fontId="12" fillId="8" borderId="27" xfId="0" applyFont="1" applyFill="1" applyBorder="1"/>
    <xf numFmtId="0" fontId="12" fillId="8" borderId="17" xfId="0" applyFont="1" applyFill="1" applyBorder="1"/>
    <xf numFmtId="0" fontId="12" fillId="8" borderId="18" xfId="0" applyFont="1" applyFill="1" applyBorder="1"/>
    <xf numFmtId="0" fontId="0" fillId="0" borderId="34" xfId="0" applyBorder="1" applyAlignment="1">
      <alignment horizontal="centerContinuous"/>
    </xf>
    <xf numFmtId="0" fontId="0" fillId="0" borderId="0" xfId="0" applyAlignment="1">
      <alignment horizontal="centerContinuous"/>
    </xf>
    <xf numFmtId="0" fontId="0" fillId="0" borderId="34" xfId="0" quotePrefix="1" applyBorder="1" applyAlignment="1">
      <alignment horizontal="centerContinuous"/>
    </xf>
    <xf numFmtId="0" fontId="0" fillId="0" borderId="34" xfId="0" applyBorder="1"/>
    <xf numFmtId="0" fontId="0" fillId="0" borderId="35" xfId="0" applyBorder="1"/>
    <xf numFmtId="0" fontId="0" fillId="0" borderId="27" xfId="0" quotePrefix="1" applyBorder="1" applyAlignment="1">
      <alignment horizontal="centerContinuous"/>
    </xf>
    <xf numFmtId="0" fontId="0" fillId="0" borderId="17" xfId="0" applyBorder="1" applyAlignment="1">
      <alignment horizontal="centerContinuous"/>
    </xf>
    <xf numFmtId="0" fontId="0" fillId="0" borderId="27" xfId="0" applyBorder="1" applyAlignment="1">
      <alignment horizontal="centerContinuous"/>
    </xf>
    <xf numFmtId="0" fontId="0" fillId="0" borderId="27" xfId="0" applyBorder="1"/>
    <xf numFmtId="0" fontId="0" fillId="0" borderId="18" xfId="0" applyBorder="1"/>
    <xf numFmtId="3" fontId="0" fillId="0" borderId="0" xfId="0" applyNumberFormat="1"/>
    <xf numFmtId="0" fontId="32" fillId="0" borderId="0" xfId="0" applyFont="1" applyAlignment="1">
      <alignment vertical="top" wrapText="1"/>
    </xf>
    <xf numFmtId="0" fontId="37" fillId="0" borderId="0" xfId="0" applyFont="1" applyAlignment="1">
      <alignment horizontal="center" vertical="center" wrapText="1"/>
    </xf>
    <xf numFmtId="0" fontId="14" fillId="0" borderId="0" xfId="0" applyFont="1" applyAlignment="1"/>
    <xf numFmtId="0" fontId="0" fillId="0" borderId="0" xfId="0" applyAlignment="1"/>
    <xf numFmtId="0" fontId="35" fillId="2" borderId="0" xfId="0" applyFont="1" applyFill="1" applyAlignment="1">
      <alignment horizontal="center" vertical="center"/>
    </xf>
    <xf numFmtId="0" fontId="36" fillId="2" borderId="0" xfId="0" applyFont="1" applyFill="1" applyAlignment="1">
      <alignment horizontal="center" vertical="center"/>
    </xf>
    <xf numFmtId="0" fontId="19" fillId="8" borderId="0" xfId="0" applyFont="1" applyFill="1" applyAlignment="1">
      <alignment horizontal="left" vertical="top"/>
    </xf>
    <xf numFmtId="0" fontId="0" fillId="8" borderId="0" xfId="0" applyFill="1" applyAlignment="1">
      <alignment horizontal="left" vertical="top"/>
    </xf>
    <xf numFmtId="0" fontId="17" fillId="2" borderId="17" xfId="0" applyFont="1" applyFill="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7" fillId="2" borderId="0" xfId="0" applyFont="1" applyFill="1" applyAlignment="1">
      <alignment horizontal="center" vertical="center"/>
    </xf>
    <xf numFmtId="0" fontId="18" fillId="2" borderId="0" xfId="0" applyFont="1" applyFill="1" applyAlignment="1">
      <alignment horizontal="center" vertical="center"/>
    </xf>
    <xf numFmtId="0" fontId="32" fillId="0" borderId="3" xfId="0" applyFont="1" applyBorder="1" applyAlignment="1">
      <alignment horizontal="center" vertical="center"/>
    </xf>
    <xf numFmtId="0" fontId="11" fillId="0" borderId="3" xfId="0" applyFont="1" applyBorder="1" applyAlignment="1">
      <alignment horizontal="center" vertical="center"/>
    </xf>
    <xf numFmtId="0" fontId="22" fillId="0" borderId="0" xfId="0" applyFont="1" applyAlignment="1">
      <alignment horizontal="center" vertical="center" wrapText="1"/>
    </xf>
    <xf numFmtId="0" fontId="33" fillId="0" borderId="0" xfId="0" applyFont="1" applyAlignment="1">
      <alignment horizontal="center" vertical="center" wrapText="1"/>
    </xf>
    <xf numFmtId="0" fontId="33" fillId="0" borderId="3" xfId="0" applyFont="1" applyBorder="1" applyAlignment="1">
      <alignment horizontal="center" vertical="center" wrapText="1"/>
    </xf>
    <xf numFmtId="0" fontId="23" fillId="5" borderId="31" xfId="0" applyFont="1" applyFill="1" applyBorder="1" applyAlignment="1">
      <alignment horizontal="center" vertical="center"/>
    </xf>
    <xf numFmtId="0" fontId="24" fillId="5" borderId="32" xfId="0" applyFont="1" applyFill="1" applyBorder="1" applyAlignment="1">
      <alignment horizontal="center" vertical="center"/>
    </xf>
    <xf numFmtId="0" fontId="24" fillId="5" borderId="33" xfId="0" applyFont="1" applyFill="1" applyBorder="1" applyAlignment="1">
      <alignment horizontal="center" vertical="center"/>
    </xf>
    <xf numFmtId="0" fontId="23" fillId="6" borderId="31" xfId="0" applyFont="1" applyFill="1" applyBorder="1" applyAlignment="1">
      <alignment horizontal="center" vertical="center" wrapText="1"/>
    </xf>
    <xf numFmtId="0" fontId="24" fillId="6" borderId="33" xfId="0" applyFont="1" applyFill="1" applyBorder="1" applyAlignment="1">
      <alignment horizontal="center" vertical="center" wrapText="1"/>
    </xf>
    <xf numFmtId="0" fontId="23" fillId="7" borderId="31" xfId="0" applyFont="1" applyFill="1" applyBorder="1" applyAlignment="1">
      <alignment horizontal="center" vertical="center"/>
    </xf>
    <xf numFmtId="0" fontId="25" fillId="7" borderId="32" xfId="0" applyFont="1" applyFill="1" applyBorder="1" applyAlignment="1">
      <alignment horizontal="center" vertical="center"/>
    </xf>
    <xf numFmtId="0" fontId="25" fillId="7" borderId="33" xfId="0" applyFont="1" applyFill="1" applyBorder="1" applyAlignment="1">
      <alignment horizontal="center" vertical="center"/>
    </xf>
    <xf numFmtId="0" fontId="20" fillId="0" borderId="3" xfId="0" applyFont="1" applyBorder="1" applyAlignment="1">
      <alignment horizontal="center" vertical="center"/>
    </xf>
    <xf numFmtId="0" fontId="21" fillId="0" borderId="4" xfId="0" applyFont="1"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2"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23" fillId="5" borderId="13" xfId="0" applyFont="1" applyFill="1" applyBorder="1" applyAlignment="1">
      <alignment horizontal="center" vertical="center"/>
    </xf>
    <xf numFmtId="0" fontId="24" fillId="5" borderId="3" xfId="0" applyFont="1" applyFill="1" applyBorder="1" applyAlignment="1">
      <alignment horizontal="center" vertical="center"/>
    </xf>
    <xf numFmtId="0" fontId="24" fillId="5" borderId="14" xfId="0" applyFont="1" applyFill="1" applyBorder="1" applyAlignment="1">
      <alignment horizontal="center" vertical="center"/>
    </xf>
    <xf numFmtId="0" fontId="23" fillId="6" borderId="13" xfId="0" applyFont="1" applyFill="1" applyBorder="1" applyAlignment="1">
      <alignment horizontal="center" vertical="center" wrapText="1"/>
    </xf>
    <xf numFmtId="0" fontId="24" fillId="6" borderId="14" xfId="0" applyFont="1" applyFill="1" applyBorder="1" applyAlignment="1">
      <alignment horizontal="center" vertical="center" wrapText="1"/>
    </xf>
    <xf numFmtId="0" fontId="23" fillId="7" borderId="13" xfId="0" applyFont="1" applyFill="1" applyBorder="1" applyAlignment="1">
      <alignment horizontal="center" vertical="center"/>
    </xf>
    <xf numFmtId="0" fontId="25" fillId="7" borderId="3" xfId="0" applyFont="1" applyFill="1" applyBorder="1" applyAlignment="1">
      <alignment horizontal="center" vertical="center"/>
    </xf>
    <xf numFmtId="0" fontId="25" fillId="7" borderId="14" xfId="0" applyFont="1" applyFill="1" applyBorder="1" applyAlignment="1">
      <alignment horizontal="center" vertical="center"/>
    </xf>
  </cellXfs>
  <cellStyles count="4">
    <cellStyle name="Milliers 2" xfId="1" xr:uid="{00000000-0005-0000-0000-000000000000}"/>
    <cellStyle name="Normal" xfId="0" builtinId="0"/>
    <cellStyle name="Normal 2" xfId="2" xr:uid="{00000000-0005-0000-0000-000002000000}"/>
    <cellStyle name="Pourcentage" xfId="3" builtinId="5"/>
  </cellStyles>
  <dxfs count="7">
    <dxf>
      <font>
        <color theme="1"/>
      </font>
    </dxf>
    <dxf>
      <font>
        <color theme="1"/>
      </font>
    </dxf>
    <dxf>
      <font>
        <color theme="1"/>
      </font>
    </dxf>
    <dxf>
      <font>
        <color theme="1"/>
      </font>
    </dxf>
    <dxf>
      <font>
        <color theme="1"/>
      </font>
    </dxf>
    <dxf>
      <font>
        <color auto="1"/>
      </font>
    </dxf>
    <dxf>
      <font>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175260</xdr:colOff>
      <xdr:row>14</xdr:row>
      <xdr:rowOff>457200</xdr:rowOff>
    </xdr:from>
    <xdr:to>
      <xdr:col>16</xdr:col>
      <xdr:colOff>144780</xdr:colOff>
      <xdr:row>16</xdr:row>
      <xdr:rowOff>53340</xdr:rowOff>
    </xdr:to>
    <xdr:sp macro="" textlink="">
      <xdr:nvSpPr>
        <xdr:cNvPr id="2" name="Flèche : haut 1">
          <a:extLst>
            <a:ext uri="{FF2B5EF4-FFF2-40B4-BE49-F238E27FC236}">
              <a16:creationId xmlns:a16="http://schemas.microsoft.com/office/drawing/2014/main" id="{A008495C-C43F-4069-94AC-6AE5E79FD144}"/>
            </a:ext>
          </a:extLst>
        </xdr:cNvPr>
        <xdr:cNvSpPr/>
      </xdr:nvSpPr>
      <xdr:spPr>
        <a:xfrm>
          <a:off x="12397740" y="3459480"/>
          <a:ext cx="762000" cy="259080"/>
        </a:xfrm>
        <a:prstGeom prst="up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ca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KSA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emmanuel/Documents/New%20Files%20Backups/EAK%20&amp;%20ASSOCIATES/Technical%20Matters/Other%20working%20papers/EAK_Working%20Papers_Use_Rich.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CREMAC\@3-%20GHANA\INFO%20GH\APOTICA%20COMPANY%20LIMITED\Copy%20of%20Copy%20of%20APOTIC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ACREMAC\LOGICIEL%20ACREMAC_REPORT\Mod&#232;les%20Etats%20financiers\Simulation\FINANCIAL%20STATEMENTS%20SYSCOADA%20_v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sheetName val="Ai"/>
      <sheetName val="A1"/>
      <sheetName val="A1.2"/>
      <sheetName val="A1.3"/>
      <sheetName val="Aop1"/>
      <sheetName val="Bi"/>
      <sheetName val="B1"/>
      <sheetName val="B2.1"/>
      <sheetName val="B2.2"/>
      <sheetName val="B3"/>
      <sheetName val="B4"/>
      <sheetName val="B5"/>
      <sheetName val="B6"/>
      <sheetName val="B6.1"/>
      <sheetName val="B7"/>
      <sheetName val="B8"/>
      <sheetName val="Ci"/>
      <sheetName val="C1"/>
      <sheetName val="C2"/>
      <sheetName val="C2.1"/>
      <sheetName val="C2.2"/>
      <sheetName val="C3.1"/>
      <sheetName val="C3.2"/>
      <sheetName val="C4"/>
      <sheetName val="C4.1"/>
      <sheetName val="C5"/>
      <sheetName val="C5.1"/>
      <sheetName val="C5.2"/>
      <sheetName val="C6"/>
      <sheetName val="C7"/>
      <sheetName val="C7.1"/>
      <sheetName val="C7.2"/>
      <sheetName val="C8"/>
      <sheetName val="C8.1"/>
      <sheetName val="C8.2"/>
      <sheetName val="C8.3"/>
      <sheetName val="C8.4"/>
      <sheetName val="C9"/>
      <sheetName val="C9.1"/>
      <sheetName val="C9.2"/>
      <sheetName val="C10"/>
      <sheetName val="C11"/>
      <sheetName val="C12"/>
      <sheetName val="C13.1"/>
      <sheetName val="C13.2"/>
      <sheetName val="C13.3"/>
      <sheetName val="C13.4"/>
      <sheetName val="C13.5"/>
      <sheetName val="Cop01"/>
      <sheetName val="Cop01A"/>
      <sheetName val="Cop02"/>
      <sheetName val="Cop02A"/>
      <sheetName val="Cop03"/>
      <sheetName val="Cop04"/>
      <sheetName val="Cop05"/>
      <sheetName val="Cop05A"/>
      <sheetName val="Cop06"/>
      <sheetName val="Cop06A"/>
      <sheetName val="Di"/>
      <sheetName val="D1"/>
      <sheetName val="D1.1"/>
      <sheetName val="D2"/>
      <sheetName val="D3"/>
      <sheetName val="D4"/>
      <sheetName val="D5"/>
      <sheetName val="D6"/>
      <sheetName val="D7"/>
      <sheetName val="D8"/>
      <sheetName val="D9"/>
      <sheetName val="D10"/>
      <sheetName val="D11"/>
      <sheetName val="D12"/>
      <sheetName val="D13"/>
      <sheetName val="D14"/>
      <sheetName val="D15"/>
      <sheetName val="D20"/>
      <sheetName val="D21"/>
      <sheetName val="Ei"/>
      <sheetName val="Es"/>
      <sheetName val="E2"/>
      <sheetName val="Fi"/>
      <sheetName val="Fs"/>
      <sheetName val="F2"/>
      <sheetName val="Fssb"/>
      <sheetName val="Gi"/>
      <sheetName val="Gs"/>
      <sheetName val="G2"/>
      <sheetName val="Hi"/>
      <sheetName val="Hs"/>
      <sheetName val="H2"/>
      <sheetName val="Ii"/>
      <sheetName val="Is"/>
      <sheetName val="I2"/>
      <sheetName val="I3"/>
      <sheetName val="I4"/>
      <sheetName val="Issb"/>
      <sheetName val="Ji"/>
      <sheetName val="Js"/>
      <sheetName val="J2"/>
      <sheetName val="Jop01"/>
      <sheetName val="Jop02"/>
      <sheetName val="Jssb"/>
      <sheetName val="Ki"/>
      <sheetName val="Ks"/>
      <sheetName val="K2"/>
      <sheetName val="Li"/>
      <sheetName val="Ls"/>
      <sheetName val="L2"/>
      <sheetName val="Lop01"/>
      <sheetName val="Lop02"/>
      <sheetName val="Lssb"/>
      <sheetName val="Mi"/>
      <sheetName val="Ms"/>
      <sheetName val="M2"/>
      <sheetName val="Ni"/>
      <sheetName val="Ns"/>
      <sheetName val="N2"/>
      <sheetName val="Nop01"/>
      <sheetName val="Oi"/>
      <sheetName val="Os"/>
      <sheetName val="O2"/>
      <sheetName val="O2llp"/>
      <sheetName val="Pi"/>
      <sheetName val="Ps"/>
      <sheetName val="P2"/>
      <sheetName val="P3"/>
      <sheetName val="Qi"/>
      <sheetName val="Ri"/>
      <sheetName val="Rs"/>
      <sheetName val="R2"/>
      <sheetName val="R3"/>
      <sheetName val="R3.1"/>
      <sheetName val="R3.2"/>
      <sheetName val="Rop01"/>
      <sheetName val="Rop02"/>
      <sheetName val="Rop03"/>
      <sheetName val="Si"/>
      <sheetName val="Ss"/>
      <sheetName val="S2"/>
      <sheetName val="S3"/>
      <sheetName val="Ti"/>
      <sheetName val="Ts"/>
      <sheetName val="T2"/>
      <sheetName val="T3"/>
      <sheetName val="T3.1"/>
      <sheetName val="Ui"/>
      <sheetName val="Us"/>
      <sheetName val="U2"/>
      <sheetName val="U3"/>
      <sheetName val="Vi"/>
      <sheetName val="Vs"/>
      <sheetName val="V2"/>
      <sheetName val="V3"/>
      <sheetName val="Wi"/>
      <sheetName val="Ws"/>
      <sheetName val="W2"/>
      <sheetName val="W3"/>
      <sheetName val="W4"/>
      <sheetName val="W5"/>
      <sheetName val="Xi"/>
      <sheetName val="YZi"/>
      <sheetName val="PAF01"/>
      <sheetName val="PAF02"/>
      <sheetName val="PAF03"/>
      <sheetName val="PAF04"/>
      <sheetName val="PAF05"/>
      <sheetName val="PAF06"/>
      <sheetName val="PAF06.1"/>
      <sheetName val="PAF06.2.1"/>
      <sheetName val="PAF06.2.2"/>
      <sheetName val="PAF06.3"/>
      <sheetName val="PAF07"/>
      <sheetName val="PAF08"/>
      <sheetName val="PAF09"/>
      <sheetName val="PAF10"/>
      <sheetName val="PAF11"/>
      <sheetName val="PAF12"/>
      <sheetName val="PAF13"/>
    </sheetNames>
    <sheetDataSet>
      <sheetData sheetId="0" refreshError="1">
        <row r="7">
          <cell r="I7" t="str">
            <v>Yes</v>
          </cell>
        </row>
        <row r="8">
          <cell r="I8" t="str">
            <v>No</v>
          </cell>
          <cell r="L8" t="str">
            <v xml:space="preserve">Client: </v>
          </cell>
        </row>
        <row r="9">
          <cell r="L9" t="str">
            <v xml:space="preserve">Year end: </v>
          </cell>
        </row>
        <row r="10">
          <cell r="L10" t="str">
            <v xml:space="preserve">File no: </v>
          </cell>
        </row>
        <row r="107">
          <cell r="G107" t="b">
            <v>1</v>
          </cell>
        </row>
        <row r="108">
          <cell r="G108" t="b">
            <v>1</v>
          </cell>
        </row>
        <row r="114">
          <cell r="G114" t="b">
            <v>1</v>
          </cell>
        </row>
        <row r="115">
          <cell r="G115" t="b">
            <v>1</v>
          </cell>
        </row>
        <row r="116">
          <cell r="G116" t="b">
            <v>1</v>
          </cell>
        </row>
        <row r="123">
          <cell r="G123" t="b">
            <v>1</v>
          </cell>
        </row>
        <row r="129">
          <cell r="G129" t="b">
            <v>1</v>
          </cell>
        </row>
        <row r="135">
          <cell r="G135" t="b">
            <v>1</v>
          </cell>
        </row>
        <row r="136">
          <cell r="G136" t="b">
            <v>1</v>
          </cell>
        </row>
        <row r="137">
          <cell r="G137" t="b">
            <v>1</v>
          </cell>
        </row>
        <row r="138">
          <cell r="G138" t="b">
            <v>1</v>
          </cell>
        </row>
        <row r="147">
          <cell r="G147" t="b">
            <v>1</v>
          </cell>
        </row>
        <row r="148">
          <cell r="G148" t="b">
            <v>1</v>
          </cell>
        </row>
        <row r="149">
          <cell r="G149" t="b">
            <v>0</v>
          </cell>
        </row>
        <row r="152">
          <cell r="G152" t="b">
            <v>1</v>
          </cell>
        </row>
        <row r="159">
          <cell r="G159" t="b">
            <v>1</v>
          </cell>
        </row>
        <row r="160">
          <cell r="G160" t="b">
            <v>1</v>
          </cell>
        </row>
        <row r="166">
          <cell r="G166" t="b">
            <v>1</v>
          </cell>
        </row>
        <row r="167">
          <cell r="G167" t="b">
            <v>1</v>
          </cell>
        </row>
        <row r="168">
          <cell r="G168" t="b">
            <v>0</v>
          </cell>
        </row>
        <row r="171">
          <cell r="G171" t="b">
            <v>1</v>
          </cell>
        </row>
        <row r="178">
          <cell r="G178" t="b">
            <v>1</v>
          </cell>
        </row>
        <row r="184">
          <cell r="G184" t="b">
            <v>1</v>
          </cell>
        </row>
        <row r="193">
          <cell r="G193" t="b">
            <v>1</v>
          </cell>
        </row>
        <row r="200">
          <cell r="G200" t="b">
            <v>1</v>
          </cell>
        </row>
        <row r="209">
          <cell r="G209" t="b">
            <v>1</v>
          </cell>
        </row>
        <row r="210">
          <cell r="G210" t="b">
            <v>1</v>
          </cell>
        </row>
        <row r="211">
          <cell r="G211" t="b">
            <v>1</v>
          </cell>
        </row>
        <row r="212">
          <cell r="G212" t="b">
            <v>1</v>
          </cell>
        </row>
        <row r="224">
          <cell r="G224" t="b">
            <v>1</v>
          </cell>
        </row>
        <row r="231">
          <cell r="G231" t="b">
            <v>1</v>
          </cell>
        </row>
        <row r="240">
          <cell r="G240" t="b">
            <v>1</v>
          </cell>
        </row>
        <row r="247">
          <cell r="G247" t="b">
            <v>1</v>
          </cell>
        </row>
        <row r="254">
          <cell r="G254" t="b">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sheetName val="Ai"/>
      <sheetName val="A1"/>
      <sheetName val="A1.2"/>
      <sheetName val="Aapp1"/>
      <sheetName val="Bi"/>
      <sheetName val="B1"/>
      <sheetName val="B2"/>
      <sheetName val="B3"/>
      <sheetName val="B4"/>
      <sheetName val="B5"/>
      <sheetName val="B5app1"/>
      <sheetName val="B6"/>
      <sheetName val="B7"/>
      <sheetName val="B8"/>
      <sheetName val="Ci"/>
      <sheetName val="C1"/>
      <sheetName val="C2"/>
      <sheetName val="C2.1"/>
      <sheetName val="C2.2"/>
      <sheetName val="C3.1"/>
      <sheetName val="C3.2"/>
      <sheetName val="C4"/>
      <sheetName val="C5"/>
      <sheetName val="C5.1"/>
      <sheetName val="C5.2"/>
      <sheetName val="C6"/>
      <sheetName val="C7"/>
      <sheetName val="C7.1"/>
      <sheetName val="C7.2"/>
      <sheetName val="C8"/>
      <sheetName val="C8.1"/>
      <sheetName val="C8.2"/>
      <sheetName val="C8.3"/>
      <sheetName val="C8.4"/>
      <sheetName val="C9"/>
      <sheetName val="C9.1"/>
      <sheetName val="C10"/>
      <sheetName val="C11"/>
      <sheetName val="C12"/>
      <sheetName val="C13.1"/>
      <sheetName val="C13.2"/>
      <sheetName val="C13.3"/>
      <sheetName val="C13.4"/>
      <sheetName val="C13.5"/>
      <sheetName val="Capp01"/>
      <sheetName val="Capp02"/>
      <sheetName val="Di"/>
      <sheetName val="D1"/>
      <sheetName val="D2"/>
      <sheetName val="D3"/>
      <sheetName val="D4"/>
      <sheetName val="D5"/>
      <sheetName val="D6"/>
      <sheetName val="D7"/>
      <sheetName val="D8"/>
      <sheetName val="D20"/>
      <sheetName val="D21"/>
      <sheetName val="Ei"/>
      <sheetName val="Es"/>
      <sheetName val="E2"/>
      <sheetName val="Eapp01"/>
      <sheetName val="Fi"/>
      <sheetName val="Fs"/>
      <sheetName val="F2"/>
      <sheetName val="Fapp01"/>
      <sheetName val="Fssb1"/>
      <sheetName val="Gi"/>
      <sheetName val="Gs"/>
      <sheetName val="G2"/>
      <sheetName val="Hi"/>
      <sheetName val="Hs"/>
      <sheetName val="H2"/>
      <sheetName val="Ii"/>
      <sheetName val="Is"/>
      <sheetName val="I2"/>
      <sheetName val="I4"/>
      <sheetName val="Issb"/>
      <sheetName val="Ji"/>
      <sheetName val="Js"/>
      <sheetName val="J2"/>
      <sheetName val="Japp01"/>
      <sheetName val="Japp02"/>
      <sheetName val="Japp03"/>
      <sheetName val="Jssb"/>
      <sheetName val="Ki"/>
      <sheetName val="Ks"/>
      <sheetName val="K2"/>
      <sheetName val="Kapp01"/>
      <sheetName val="Li"/>
      <sheetName val="Ls"/>
      <sheetName val="L2"/>
      <sheetName val="Lapp01"/>
      <sheetName val="Lapp02"/>
      <sheetName val="Lapp03"/>
      <sheetName val="Lssb"/>
      <sheetName val="Mi"/>
      <sheetName val="Ms"/>
      <sheetName val="M2"/>
      <sheetName val="Mapp01"/>
      <sheetName val="Ni"/>
      <sheetName val="Ns"/>
      <sheetName val="N2"/>
      <sheetName val="Napp01"/>
      <sheetName val="Napp02"/>
      <sheetName val="Oi"/>
      <sheetName val="Os"/>
      <sheetName val="O2"/>
      <sheetName val="Oapp01"/>
      <sheetName val="Pi"/>
      <sheetName val="Ps"/>
      <sheetName val="P2"/>
      <sheetName val="Papp01"/>
      <sheetName val="Qi"/>
      <sheetName val="Ri"/>
      <sheetName val="Rs"/>
      <sheetName val="R2"/>
      <sheetName val="Rapp01"/>
      <sheetName val="Rapp02"/>
      <sheetName val="Rapp03"/>
      <sheetName val="Rapp04"/>
      <sheetName val="Rsspl"/>
      <sheetName val="Si"/>
      <sheetName val="Ss"/>
      <sheetName val="S2"/>
      <sheetName val="S3"/>
      <sheetName val="Ti"/>
      <sheetName val="Ts"/>
      <sheetName val="T2"/>
      <sheetName val="T3"/>
      <sheetName val="T3.1"/>
      <sheetName val="T4"/>
      <sheetName val="Vi"/>
      <sheetName val="Vs"/>
      <sheetName val="V2"/>
      <sheetName val="Wi"/>
      <sheetName val="Ws"/>
      <sheetName val="W2"/>
      <sheetName val="W3"/>
      <sheetName val="W4"/>
      <sheetName val="W5"/>
      <sheetName val="Xi"/>
      <sheetName val="YZi"/>
      <sheetName val="App1.1"/>
      <sheetName val="App1.2"/>
      <sheetName val="App1.3"/>
      <sheetName val="App2.1"/>
      <sheetName val="App2.2"/>
      <sheetName val="App2.3"/>
      <sheetName val="App2.4"/>
      <sheetName val="App3.1"/>
      <sheetName val="App3.2"/>
      <sheetName val="App3.3"/>
      <sheetName val="App4.1"/>
      <sheetName val="App4.2"/>
      <sheetName val="App4.3"/>
      <sheetName val="App4.4"/>
      <sheetName val="PAF01"/>
      <sheetName val="PAF02"/>
      <sheetName val="PAF03"/>
      <sheetName val="PAF04"/>
      <sheetName val="PAF05"/>
      <sheetName val="PAF06"/>
      <sheetName val="PAF07"/>
      <sheetName val="PAF08"/>
      <sheetName val="PAF09"/>
      <sheetName val="PAF10"/>
      <sheetName val="PAF11"/>
      <sheetName val="PAF13"/>
    </sheetNames>
    <sheetDataSet>
      <sheetData sheetId="0" refreshError="1">
        <row r="87">
          <cell r="G87" t="b">
            <v>0</v>
          </cell>
        </row>
        <row r="97">
          <cell r="G97" t="b">
            <v>0</v>
          </cell>
        </row>
        <row r="133">
          <cell r="G133" t="b">
            <v>0</v>
          </cell>
        </row>
        <row r="141">
          <cell r="G141" t="b">
            <v>0</v>
          </cell>
        </row>
        <row r="154">
          <cell r="G154" t="b">
            <v>0</v>
          </cell>
        </row>
        <row r="161">
          <cell r="G161" t="b">
            <v>0</v>
          </cell>
        </row>
        <row r="168">
          <cell r="G168" t="b">
            <v>0</v>
          </cell>
        </row>
        <row r="177">
          <cell r="G177" t="b">
            <v>0</v>
          </cell>
        </row>
        <row r="184">
          <cell r="G184" t="b">
            <v>0</v>
          </cell>
        </row>
        <row r="196">
          <cell r="G196" t="b">
            <v>0</v>
          </cell>
        </row>
        <row r="247">
          <cell r="G247" t="b">
            <v>0</v>
          </cell>
        </row>
        <row r="250">
          <cell r="G250" t="b">
            <v>0</v>
          </cell>
        </row>
        <row r="254">
          <cell r="G254" t="b">
            <v>0</v>
          </cell>
        </row>
        <row r="257">
          <cell r="G257"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b"/>
      <sheetName val="Set up"/>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2016"/>
      <sheetName val="Notes-16"/>
      <sheetName val="TB-17"/>
      <sheetName val="Asset 2016"/>
      <sheetName val="Tax 2016"/>
      <sheetName val="P&amp;L-16"/>
      <sheetName val="CF-16"/>
      <sheetName val="TB-18"/>
      <sheetName val="Notes-18"/>
      <sheetName val="Assets-18"/>
      <sheetName val="Tax-18"/>
      <sheetName val="P&amp;L-18"/>
      <sheetName val="CF-18"/>
      <sheetName val="BS-18"/>
      <sheetName val="CE-18"/>
      <sheetName val="Tax Return-18"/>
      <sheetName val="Directors Report-18"/>
      <sheetName val="Cap. All 1,2,3-18"/>
      <sheetName val="Cap. All 4-18"/>
      <sheetName val="Tax Comp.-18"/>
      <sheetName val="Sheet15"/>
      <sheetName val="Tax Return-17"/>
      <sheetName val="Sheet17"/>
      <sheetName val="Sheet18"/>
      <sheetName val="Sheet19"/>
      <sheetName val="Sheet20"/>
      <sheetName val="Notes-17"/>
      <sheetName val="Tax-17"/>
      <sheetName val="P&amp;L-17"/>
      <sheetName val="CF-17"/>
      <sheetName val="BS-17"/>
      <sheetName val="CE-17"/>
      <sheetName val="Asset-17"/>
      <sheetName val="Tax_Return form"/>
      <sheetName val="BS-16"/>
      <sheetName val="CE-16"/>
      <sheetName val="Directors Report-16"/>
      <sheetName val="Directors Report-17"/>
      <sheetName val="C All-1,2,3-17"/>
      <sheetName val="Cl4-17"/>
      <sheetName val="Capital Class 1 2 &amp; 4_13"/>
      <sheetName val="Capital Class 4_2016"/>
      <sheetName val="2016 Tax"/>
      <sheetName val="2017 Tax"/>
      <sheetName val="Sheet1"/>
    </sheetNames>
    <sheetDataSet>
      <sheetData sheetId="0">
        <row r="2">
          <cell r="B2" t="str">
            <v>Apotica Company Limited</v>
          </cell>
        </row>
      </sheetData>
      <sheetData sheetId="1"/>
      <sheetData sheetId="2"/>
      <sheetData sheetId="3"/>
      <sheetData sheetId="4"/>
      <sheetData sheetId="5"/>
      <sheetData sheetId="6"/>
      <sheetData sheetId="7"/>
      <sheetData sheetId="8">
        <row r="11">
          <cell r="B11">
            <v>12963693.17</v>
          </cell>
        </row>
        <row r="23">
          <cell r="B23">
            <v>9590923.9800000004</v>
          </cell>
        </row>
        <row r="85">
          <cell r="B85">
            <v>3268767.8377250009</v>
          </cell>
        </row>
        <row r="136">
          <cell r="B136">
            <v>700817.42</v>
          </cell>
        </row>
        <row r="143">
          <cell r="B143">
            <v>360054.21463999955</v>
          </cell>
        </row>
      </sheetData>
      <sheetData sheetId="9">
        <row r="27">
          <cell r="E27">
            <v>1078221.6839600001</v>
          </cell>
        </row>
      </sheetData>
      <sheetData sheetId="10">
        <row r="10">
          <cell r="E10">
            <v>-330944.97036000038</v>
          </cell>
        </row>
      </sheetData>
      <sheetData sheetId="11"/>
      <sheetData sheetId="12"/>
      <sheetData sheetId="13"/>
      <sheetData sheetId="14">
        <row r="11">
          <cell r="B11">
            <v>200000</v>
          </cell>
        </row>
      </sheetData>
      <sheetData sheetId="15"/>
      <sheetData sheetId="16"/>
      <sheetData sheetId="17"/>
      <sheetData sheetId="18"/>
      <sheetData sheetId="19"/>
      <sheetData sheetId="20"/>
      <sheetData sheetId="21"/>
      <sheetData sheetId="22"/>
      <sheetData sheetId="23"/>
      <sheetData sheetId="24"/>
      <sheetData sheetId="25"/>
      <sheetData sheetId="26">
        <row r="93">
          <cell r="B93">
            <v>0</v>
          </cell>
        </row>
        <row r="150">
          <cell r="B150">
            <v>0</v>
          </cell>
          <cell r="C150">
            <v>0</v>
          </cell>
        </row>
      </sheetData>
      <sheetData sheetId="27"/>
      <sheetData sheetId="28">
        <row r="4">
          <cell r="C4">
            <v>2017</v>
          </cell>
        </row>
        <row r="6">
          <cell r="C6">
            <v>11572273.029999999</v>
          </cell>
        </row>
        <row r="7">
          <cell r="C7">
            <v>-7233199.9100000001</v>
          </cell>
        </row>
        <row r="8">
          <cell r="C8">
            <v>-1086470.46</v>
          </cell>
        </row>
        <row r="11">
          <cell r="C11">
            <v>-3103711.7849829993</v>
          </cell>
        </row>
        <row r="14">
          <cell r="C14">
            <v>655979.36</v>
          </cell>
        </row>
        <row r="20">
          <cell r="C20">
            <v>-163994.84</v>
          </cell>
        </row>
      </sheetData>
      <sheetData sheetId="29"/>
      <sheetData sheetId="30">
        <row r="4">
          <cell r="C4">
            <v>2017</v>
          </cell>
        </row>
        <row r="8">
          <cell r="C8" t="str">
            <v>--------</v>
          </cell>
          <cell r="D8" t="str">
            <v>--------</v>
          </cell>
        </row>
        <row r="10">
          <cell r="C10" t="str">
            <v>--------</v>
          </cell>
          <cell r="D10" t="str">
            <v>--------</v>
          </cell>
        </row>
        <row r="16">
          <cell r="C16" t="str">
            <v>--------</v>
          </cell>
          <cell r="D16" t="str">
            <v>--------</v>
          </cell>
        </row>
        <row r="18">
          <cell r="C18" t="str">
            <v>--------</v>
          </cell>
          <cell r="D18" t="str">
            <v>--------</v>
          </cell>
        </row>
        <row r="19">
          <cell r="C19" t="str">
            <v>--------</v>
          </cell>
          <cell r="D19" t="str">
            <v>--------</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sheetName val="LIABILITIES"/>
      <sheetName val="Income statement"/>
      <sheetName val="Ratios"/>
    </sheetNames>
    <sheetDataSet>
      <sheetData sheetId="0">
        <row r="18">
          <cell r="G18">
            <v>3000000</v>
          </cell>
        </row>
      </sheetData>
      <sheetData sheetId="1">
        <row r="14">
          <cell r="D14">
            <v>71726686</v>
          </cell>
        </row>
      </sheetData>
      <sheetData sheetId="2">
        <row r="4">
          <cell r="I4">
            <v>308158920</v>
          </cell>
        </row>
        <row r="34">
          <cell r="I34">
            <v>0</v>
          </cell>
          <cell r="J34">
            <v>0</v>
          </cell>
          <cell r="K34">
            <v>0</v>
          </cell>
        </row>
        <row r="37">
          <cell r="I37">
            <v>37750330</v>
          </cell>
          <cell r="J37">
            <v>29231353</v>
          </cell>
          <cell r="K37">
            <v>45184000</v>
          </cell>
        </row>
      </sheetData>
      <sheetData sheetId="3"/>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52"/>
  <sheetViews>
    <sheetView workbookViewId="0">
      <selection activeCell="A7" sqref="A7"/>
    </sheetView>
  </sheetViews>
  <sheetFormatPr baseColWidth="10" defaultColWidth="11.44140625" defaultRowHeight="14.4"/>
  <cols>
    <col min="1" max="1" width="46" style="30" customWidth="1"/>
    <col min="2" max="2" width="11.109375" style="21" customWidth="1"/>
    <col min="3" max="4" width="12" style="21" customWidth="1"/>
    <col min="5" max="5" width="11.88671875" style="21" bestFit="1" customWidth="1"/>
    <col min="6" max="16384" width="11.44140625" style="21"/>
  </cols>
  <sheetData>
    <row r="1" spans="1:7" s="23" customFormat="1" ht="14.25" customHeight="1">
      <c r="A1" s="1"/>
      <c r="B1" s="22"/>
      <c r="C1" s="3"/>
      <c r="D1" s="3"/>
    </row>
    <row r="2" spans="1:7" s="23" customFormat="1" ht="14.25" customHeight="1">
      <c r="A2" s="1"/>
      <c r="B2" s="8"/>
      <c r="C2" s="6"/>
      <c r="D2" s="6"/>
    </row>
    <row r="3" spans="1:7" s="23" customFormat="1" ht="13.5" customHeight="1">
      <c r="A3" s="7" t="s">
        <v>86</v>
      </c>
      <c r="B3" s="8" t="s">
        <v>0</v>
      </c>
      <c r="C3" s="6" t="s">
        <v>8</v>
      </c>
      <c r="D3" s="6" t="s">
        <v>7</v>
      </c>
      <c r="E3" s="6" t="s">
        <v>6</v>
      </c>
    </row>
    <row r="4" spans="1:7" s="23" customFormat="1" ht="14.25" customHeight="1">
      <c r="A4" s="10"/>
      <c r="B4" s="8"/>
      <c r="C4" s="24"/>
      <c r="D4" s="24"/>
      <c r="E4" s="24"/>
    </row>
    <row r="5" spans="1:7" s="23" customFormat="1" ht="14.25" customHeight="1">
      <c r="A5" s="10" t="s">
        <v>87</v>
      </c>
      <c r="B5" s="8"/>
      <c r="C5" s="15"/>
      <c r="D5" s="15"/>
      <c r="E5" s="15"/>
    </row>
    <row r="6" spans="1:7" s="23" customFormat="1" ht="14.25" customHeight="1">
      <c r="A6" s="7" t="s">
        <v>88</v>
      </c>
      <c r="B6" s="8">
        <v>8</v>
      </c>
      <c r="C6" s="15">
        <v>1078221.6839600001</v>
      </c>
      <c r="D6" s="15">
        <v>1013250.1616850001</v>
      </c>
      <c r="E6" s="15">
        <v>199849</v>
      </c>
      <c r="G6" s="25"/>
    </row>
    <row r="7" spans="1:7" s="23" customFormat="1" ht="12.75" customHeight="1">
      <c r="A7" s="7" t="s">
        <v>89</v>
      </c>
      <c r="B7" s="8"/>
      <c r="C7" s="12" t="s">
        <v>1</v>
      </c>
      <c r="D7" s="12" t="str">
        <f>'[4]BS-17'!C8</f>
        <v>--------</v>
      </c>
      <c r="E7" s="12" t="str">
        <f>'[4]BS-17'!D8</f>
        <v>--------</v>
      </c>
    </row>
    <row r="8" spans="1:7" s="23" customFormat="1" ht="13.5" customHeight="1">
      <c r="A8" s="7"/>
      <c r="B8" s="8"/>
      <c r="C8" s="14">
        <f>SUM(C6:C7)</f>
        <v>1078221.6839600001</v>
      </c>
      <c r="D8" s="14">
        <f t="shared" ref="D8:E8" si="0">SUM(D6:D7)</f>
        <v>1013250.1616850001</v>
      </c>
      <c r="E8" s="14">
        <f t="shared" si="0"/>
        <v>199849</v>
      </c>
    </row>
    <row r="9" spans="1:7" s="23" customFormat="1" ht="9.75" customHeight="1">
      <c r="A9" s="7"/>
      <c r="B9" s="8"/>
      <c r="C9" s="12" t="s">
        <v>1</v>
      </c>
      <c r="D9" s="12" t="str">
        <f>'[4]BS-17'!C10</f>
        <v>--------</v>
      </c>
      <c r="E9" s="12" t="str">
        <f>'[4]BS-17'!D10</f>
        <v>--------</v>
      </c>
    </row>
    <row r="10" spans="1:7" s="23" customFormat="1" ht="14.25" customHeight="1">
      <c r="A10" s="10"/>
      <c r="B10" s="8"/>
      <c r="C10" s="15"/>
      <c r="D10" s="15">
        <v>0</v>
      </c>
      <c r="E10" s="15">
        <v>0</v>
      </c>
    </row>
    <row r="11" spans="1:7" s="23" customFormat="1" ht="14.25" customHeight="1">
      <c r="A11" s="7" t="s">
        <v>90</v>
      </c>
      <c r="B11" s="8">
        <v>9</v>
      </c>
      <c r="C11" s="15">
        <v>0</v>
      </c>
      <c r="D11" s="15">
        <v>0</v>
      </c>
      <c r="E11" s="15">
        <v>0</v>
      </c>
    </row>
    <row r="12" spans="1:7" s="23" customFormat="1" ht="14.25" customHeight="1">
      <c r="A12" s="7" t="s">
        <v>91</v>
      </c>
      <c r="B12" s="8">
        <v>10</v>
      </c>
      <c r="C12" s="15">
        <v>2772095.16</v>
      </c>
      <c r="D12" s="15">
        <v>1433526.73</v>
      </c>
      <c r="E12" s="15">
        <v>293946</v>
      </c>
      <c r="F12" s="25"/>
    </row>
    <row r="13" spans="1:7" s="23" customFormat="1" ht="14.25" customHeight="1">
      <c r="A13" s="7" t="s">
        <v>92</v>
      </c>
      <c r="B13" s="8"/>
      <c r="C13" s="15">
        <v>330944.97036000038</v>
      </c>
      <c r="D13" s="15">
        <v>275512.67499999993</v>
      </c>
      <c r="E13" s="15">
        <v>5374</v>
      </c>
      <c r="F13" s="25"/>
    </row>
    <row r="14" spans="1:7" s="23" customFormat="1" ht="14.25" customHeight="1">
      <c r="A14" s="7" t="s">
        <v>93</v>
      </c>
      <c r="B14" s="8">
        <v>11</v>
      </c>
      <c r="C14" s="15">
        <v>311578.39999999997</v>
      </c>
      <c r="D14" s="15">
        <v>286298.34000000003</v>
      </c>
      <c r="E14" s="15">
        <v>64787</v>
      </c>
      <c r="F14" s="25"/>
    </row>
    <row r="15" spans="1:7" s="23" customFormat="1" ht="9.75" customHeight="1">
      <c r="A15" s="7" t="s">
        <v>94</v>
      </c>
      <c r="B15" s="8"/>
      <c r="C15" s="12" t="s">
        <v>1</v>
      </c>
      <c r="D15" s="12" t="str">
        <f>'[4]BS-17'!C16</f>
        <v>--------</v>
      </c>
      <c r="E15" s="12" t="str">
        <f>'[4]BS-17'!D16</f>
        <v>--------</v>
      </c>
      <c r="F15" s="25"/>
    </row>
    <row r="16" spans="1:7" s="23" customFormat="1" ht="15.6">
      <c r="A16" s="10"/>
      <c r="B16" s="8"/>
      <c r="C16" s="14">
        <f>SUM(C11:C15)</f>
        <v>3414618.5303600007</v>
      </c>
      <c r="D16" s="14">
        <f>SUM(D11:D15)</f>
        <v>1995337.7449999999</v>
      </c>
      <c r="E16" s="14">
        <f>SUM(E11:E15)</f>
        <v>364107</v>
      </c>
    </row>
    <row r="17" spans="1:5" s="23" customFormat="1" ht="15.6">
      <c r="A17" s="7" t="s">
        <v>95</v>
      </c>
      <c r="B17" s="8"/>
      <c r="C17" s="12" t="s">
        <v>1</v>
      </c>
      <c r="D17" s="12" t="str">
        <f>'[4]BS-17'!C18</f>
        <v>--------</v>
      </c>
      <c r="E17" s="12" t="str">
        <f>'[4]BS-17'!D18</f>
        <v>--------</v>
      </c>
    </row>
    <row r="18" spans="1:5" s="23" customFormat="1" ht="15.6">
      <c r="A18" s="7"/>
      <c r="B18" s="8"/>
      <c r="C18" s="12" t="s">
        <v>1</v>
      </c>
      <c r="D18" s="12" t="str">
        <f>'[4]BS-17'!C19</f>
        <v>--------</v>
      </c>
      <c r="E18" s="12" t="str">
        <f>'[4]BS-17'!D19</f>
        <v>--------</v>
      </c>
    </row>
    <row r="19" spans="1:5" s="23" customFormat="1" ht="15.6">
      <c r="A19" s="10"/>
      <c r="B19" s="8"/>
      <c r="C19" s="14">
        <f>C8+C16</f>
        <v>4492840.2143200003</v>
      </c>
      <c r="D19" s="14">
        <f t="shared" ref="D19" si="1">D8+D16</f>
        <v>3008587.9066849998</v>
      </c>
      <c r="E19" s="14">
        <f>E8+E16</f>
        <v>563956</v>
      </c>
    </row>
    <row r="20" spans="1:5" s="23" customFormat="1" ht="15.6">
      <c r="A20" s="7" t="s">
        <v>96</v>
      </c>
      <c r="B20" s="8"/>
      <c r="C20" s="16" t="s">
        <v>3</v>
      </c>
      <c r="D20" s="16" t="s">
        <v>3</v>
      </c>
      <c r="E20" s="16" t="s">
        <v>3</v>
      </c>
    </row>
    <row r="21" spans="1:5" s="23" customFormat="1" ht="15.6">
      <c r="A21" s="10"/>
      <c r="B21" s="8"/>
      <c r="C21" s="15"/>
      <c r="D21" s="15">
        <v>0</v>
      </c>
      <c r="E21" s="15">
        <v>0</v>
      </c>
    </row>
    <row r="22" spans="1:5" s="23" customFormat="1" ht="15.6">
      <c r="A22" s="10" t="s">
        <v>97</v>
      </c>
      <c r="B22" s="8"/>
      <c r="C22" s="15"/>
      <c r="D22" s="15">
        <v>0</v>
      </c>
      <c r="E22" s="15">
        <v>0</v>
      </c>
    </row>
    <row r="23" spans="1:5" s="23" customFormat="1" ht="15.6">
      <c r="A23" s="7" t="s">
        <v>98</v>
      </c>
      <c r="B23" s="8">
        <v>12</v>
      </c>
      <c r="C23" s="15">
        <v>200000</v>
      </c>
      <c r="D23" s="15">
        <v>200000</v>
      </c>
      <c r="E23" s="15">
        <v>200000</v>
      </c>
    </row>
    <row r="24" spans="1:5" s="23" customFormat="1" ht="15.6">
      <c r="A24" s="7" t="s">
        <v>99</v>
      </c>
      <c r="B24" s="8"/>
      <c r="C24" s="15">
        <v>1688079.8643199988</v>
      </c>
      <c r="D24" s="15">
        <v>482576.19668499986</v>
      </c>
      <c r="E24" s="15">
        <v>16274</v>
      </c>
    </row>
    <row r="25" spans="1:5" s="23" customFormat="1" ht="15.6">
      <c r="A25" s="7" t="s">
        <v>100</v>
      </c>
      <c r="B25" s="8"/>
      <c r="C25" s="12" t="s">
        <v>1</v>
      </c>
      <c r="D25" s="12" t="s">
        <v>1</v>
      </c>
      <c r="E25" s="12" t="s">
        <v>1</v>
      </c>
    </row>
    <row r="26" spans="1:5" s="23" customFormat="1" ht="15.6">
      <c r="A26" s="10"/>
      <c r="B26" s="8"/>
      <c r="C26" s="14">
        <f>SUM(C23:C25)</f>
        <v>1888079.8643199988</v>
      </c>
      <c r="D26" s="14">
        <f t="shared" ref="D26:E26" si="2">SUM(D23:D25)</f>
        <v>682576.19668499986</v>
      </c>
      <c r="E26" s="14">
        <f t="shared" si="2"/>
        <v>216274</v>
      </c>
    </row>
    <row r="27" spans="1:5" s="23" customFormat="1" ht="15.6">
      <c r="A27" s="26" t="s">
        <v>101</v>
      </c>
      <c r="C27" s="12" t="s">
        <v>1</v>
      </c>
      <c r="D27" s="12" t="s">
        <v>1</v>
      </c>
      <c r="E27" s="12" t="s">
        <v>1</v>
      </c>
    </row>
    <row r="28" spans="1:5" s="23" customFormat="1" ht="15.6">
      <c r="A28" s="10"/>
      <c r="C28" s="12"/>
      <c r="D28" s="12">
        <v>0</v>
      </c>
      <c r="E28" s="12"/>
    </row>
    <row r="29" spans="1:5" s="23" customFormat="1" ht="15.6">
      <c r="A29" s="7" t="s">
        <v>102</v>
      </c>
      <c r="B29" s="8">
        <v>13</v>
      </c>
      <c r="C29" s="12">
        <v>0</v>
      </c>
      <c r="D29" s="12">
        <v>0</v>
      </c>
      <c r="E29" s="12">
        <v>18328</v>
      </c>
    </row>
    <row r="30" spans="1:5" s="23" customFormat="1" ht="15.6">
      <c r="A30" s="7" t="s">
        <v>103</v>
      </c>
      <c r="B30" s="8">
        <v>14</v>
      </c>
      <c r="C30" s="12">
        <v>1374983.41</v>
      </c>
      <c r="D30" s="12">
        <v>1457960.38</v>
      </c>
      <c r="E30" s="12">
        <v>0</v>
      </c>
    </row>
    <row r="31" spans="1:5" s="23" customFormat="1" ht="15.6">
      <c r="A31" s="7" t="s">
        <v>104</v>
      </c>
      <c r="C31" s="12" t="s">
        <v>1</v>
      </c>
      <c r="D31" s="12" t="s">
        <v>1</v>
      </c>
      <c r="E31" s="12" t="s">
        <v>1</v>
      </c>
    </row>
    <row r="32" spans="1:5" s="23" customFormat="1" ht="15.6">
      <c r="A32" s="10"/>
      <c r="C32" s="14">
        <f>SUM(C29:C31)</f>
        <v>1374983.41</v>
      </c>
      <c r="D32" s="14">
        <f t="shared" ref="D32:E32" si="3">SUM(D29:D31)</f>
        <v>1457960.38</v>
      </c>
      <c r="E32" s="14">
        <f t="shared" si="3"/>
        <v>18328</v>
      </c>
    </row>
    <row r="33" spans="1:7" s="23" customFormat="1" ht="23.4" customHeight="1">
      <c r="A33" s="26" t="s">
        <v>105</v>
      </c>
      <c r="C33" s="12" t="s">
        <v>1</v>
      </c>
      <c r="D33" s="12" t="s">
        <v>1</v>
      </c>
      <c r="E33" s="12" t="s">
        <v>1</v>
      </c>
    </row>
    <row r="34" spans="1:7" s="23" customFormat="1" ht="14.25" customHeight="1">
      <c r="A34" s="10"/>
      <c r="B34" s="8"/>
      <c r="C34" s="15"/>
      <c r="D34" s="15">
        <v>0</v>
      </c>
      <c r="E34" s="15">
        <v>0</v>
      </c>
    </row>
    <row r="35" spans="1:7" s="23" customFormat="1" ht="14.25" customHeight="1">
      <c r="A35" s="7" t="s">
        <v>106</v>
      </c>
      <c r="B35" s="8">
        <v>15</v>
      </c>
      <c r="C35" s="15">
        <v>1229776.8500000001</v>
      </c>
      <c r="D35" s="15">
        <v>1229776.8500000001</v>
      </c>
      <c r="E35" s="15">
        <v>329354</v>
      </c>
    </row>
    <row r="36" spans="1:7" s="23" customFormat="1" ht="14.25" customHeight="1">
      <c r="A36" s="7" t="s">
        <v>107</v>
      </c>
      <c r="B36" s="8">
        <v>16</v>
      </c>
      <c r="C36" s="15">
        <v>0</v>
      </c>
      <c r="D36" s="15">
        <v>0</v>
      </c>
      <c r="E36" s="15">
        <v>0</v>
      </c>
    </row>
    <row r="37" spans="1:7" s="23" customFormat="1" ht="13.5" customHeight="1">
      <c r="A37" s="7" t="s">
        <v>108</v>
      </c>
      <c r="B37" s="8">
        <v>17</v>
      </c>
      <c r="C37" s="15">
        <v>0</v>
      </c>
      <c r="D37" s="15">
        <v>0</v>
      </c>
      <c r="E37" s="15">
        <v>0</v>
      </c>
    </row>
    <row r="38" spans="1:7" s="23" customFormat="1" ht="11.25" customHeight="1">
      <c r="A38" s="7" t="s">
        <v>93</v>
      </c>
      <c r="B38" s="8"/>
      <c r="C38" s="12" t="s">
        <v>1</v>
      </c>
      <c r="D38" s="12" t="s">
        <v>1</v>
      </c>
      <c r="E38" s="12" t="s">
        <v>1</v>
      </c>
    </row>
    <row r="39" spans="1:7" s="23" customFormat="1" ht="14.25" customHeight="1">
      <c r="A39" s="10"/>
      <c r="B39" s="8"/>
      <c r="C39" s="14">
        <f>SUM(C35:C38)</f>
        <v>1229776.8500000001</v>
      </c>
      <c r="D39" s="14">
        <v>868051</v>
      </c>
      <c r="E39" s="14">
        <f t="shared" ref="E39" si="4">SUM(E35:E38)</f>
        <v>329354</v>
      </c>
    </row>
    <row r="40" spans="1:7" s="23" customFormat="1" ht="12" customHeight="1">
      <c r="A40" s="26" t="s">
        <v>109</v>
      </c>
      <c r="C40" s="12" t="s">
        <v>1</v>
      </c>
      <c r="D40" s="12" t="s">
        <v>1</v>
      </c>
      <c r="E40" s="12" t="s">
        <v>1</v>
      </c>
    </row>
    <row r="41" spans="1:7" s="23" customFormat="1" ht="12" customHeight="1">
      <c r="A41" s="7"/>
      <c r="B41" s="8"/>
      <c r="C41" s="12" t="s">
        <v>1</v>
      </c>
      <c r="D41" s="12" t="s">
        <v>1</v>
      </c>
      <c r="E41" s="12" t="s">
        <v>1</v>
      </c>
    </row>
    <row r="42" spans="1:7" s="23" customFormat="1" ht="15.6">
      <c r="A42" s="10"/>
      <c r="B42" s="8"/>
      <c r="C42" s="14">
        <f>C39+C32+C26</f>
        <v>4492840.1243199985</v>
      </c>
      <c r="D42" s="14">
        <f t="shared" ref="D42" si="5">D39+D32+D26</f>
        <v>3008587.5766849997</v>
      </c>
      <c r="E42" s="14">
        <f>E39+E32+E26</f>
        <v>563956</v>
      </c>
    </row>
    <row r="43" spans="1:7" s="23" customFormat="1" ht="12.75" customHeight="1">
      <c r="A43" s="27"/>
      <c r="B43" s="8"/>
      <c r="C43" s="16" t="s">
        <v>3</v>
      </c>
      <c r="D43" s="16" t="s">
        <v>3</v>
      </c>
      <c r="E43" s="16" t="s">
        <v>3</v>
      </c>
    </row>
    <row r="44" spans="1:7" s="23" customFormat="1" ht="14.25" customHeight="1">
      <c r="A44" s="27"/>
      <c r="B44" s="8"/>
      <c r="C44" s="16"/>
      <c r="D44" s="16"/>
    </row>
    <row r="45" spans="1:7" s="23" customFormat="1" ht="15.6">
      <c r="A45" s="28"/>
    </row>
    <row r="46" spans="1:7" s="23" customFormat="1" ht="15.6">
      <c r="A46" s="29"/>
      <c r="C46" s="25"/>
      <c r="D46" s="25"/>
      <c r="E46" s="25"/>
      <c r="G46" s="25"/>
    </row>
    <row r="47" spans="1:7" s="23" customFormat="1" ht="15.6">
      <c r="A47" s="29"/>
    </row>
    <row r="48" spans="1:7" ht="15.6">
      <c r="A48" s="30" t="s">
        <v>4</v>
      </c>
      <c r="C48" s="25"/>
      <c r="D48" s="25"/>
    </row>
    <row r="49" spans="1:4">
      <c r="C49" s="31"/>
      <c r="D49" s="31"/>
    </row>
    <row r="50" spans="1:4" ht="15.6">
      <c r="A50" s="30" t="s">
        <v>5</v>
      </c>
      <c r="C50" s="25"/>
      <c r="D50" s="25"/>
    </row>
    <row r="52" spans="1:4">
      <c r="C52" s="31"/>
      <c r="D52" s="31"/>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G29"/>
  <sheetViews>
    <sheetView workbookViewId="0">
      <selection activeCell="A13" sqref="A13"/>
    </sheetView>
  </sheetViews>
  <sheetFormatPr baseColWidth="10" defaultColWidth="11.44140625" defaultRowHeight="14.4"/>
  <cols>
    <col min="1" max="1" width="45.109375" style="20" customWidth="1"/>
    <col min="2" max="2" width="10.109375" style="21" customWidth="1"/>
    <col min="3" max="4" width="13.33203125" style="21" customWidth="1"/>
    <col min="5" max="16384" width="11.44140625" style="21"/>
  </cols>
  <sheetData>
    <row r="1" spans="1:7" s="4" customFormat="1" ht="15.6">
      <c r="A1" s="1"/>
      <c r="B1" s="2"/>
      <c r="C1" s="3"/>
      <c r="D1" s="3"/>
    </row>
    <row r="2" spans="1:7" s="4" customFormat="1" ht="15.6">
      <c r="A2" s="1" t="s">
        <v>110</v>
      </c>
      <c r="B2" s="5"/>
      <c r="C2" s="6"/>
      <c r="D2" s="6"/>
    </row>
    <row r="3" spans="1:7" s="4" customFormat="1" ht="15.6">
      <c r="A3" s="7"/>
      <c r="B3" s="8" t="s">
        <v>0</v>
      </c>
      <c r="C3" s="6" t="s">
        <v>8</v>
      </c>
      <c r="D3" s="6" t="s">
        <v>7</v>
      </c>
      <c r="E3" s="6" t="s">
        <v>6</v>
      </c>
    </row>
    <row r="4" spans="1:7" s="4" customFormat="1" ht="15.6">
      <c r="A4" s="7"/>
      <c r="B4" s="8"/>
      <c r="C4" s="9"/>
      <c r="D4" s="9"/>
      <c r="E4" s="9"/>
    </row>
    <row r="5" spans="1:7" s="4" customFormat="1" ht="15.6">
      <c r="A5" s="10" t="s">
        <v>111</v>
      </c>
      <c r="B5" s="8">
        <v>3</v>
      </c>
      <c r="C5" s="11">
        <f>'[4]Notes-18'!B11</f>
        <v>12963693.17</v>
      </c>
      <c r="D5" s="11">
        <f>'[4]P&amp;L-17'!C6</f>
        <v>11572273.029999999</v>
      </c>
      <c r="E5" s="4">
        <v>3902219</v>
      </c>
    </row>
    <row r="6" spans="1:7" s="4" customFormat="1" ht="15.6">
      <c r="A6" s="7" t="s">
        <v>112</v>
      </c>
      <c r="B6" s="8">
        <v>4</v>
      </c>
      <c r="C6" s="11">
        <f>-'[4]Notes-18'!B23</f>
        <v>-9590923.9800000004</v>
      </c>
      <c r="D6" s="11">
        <f>'[4]P&amp;L-17'!C7</f>
        <v>-7233199.9100000001</v>
      </c>
      <c r="E6" s="4">
        <v>-2701014</v>
      </c>
    </row>
    <row r="7" spans="1:7" s="4" customFormat="1" ht="15.6">
      <c r="A7" s="7" t="s">
        <v>113</v>
      </c>
      <c r="B7" s="8"/>
      <c r="C7" s="11">
        <v>760739.11</v>
      </c>
      <c r="D7" s="11">
        <f>'[4]P&amp;L-17'!C8</f>
        <v>-1086470.46</v>
      </c>
      <c r="E7" s="4">
        <v>0</v>
      </c>
    </row>
    <row r="8" spans="1:7" s="4" customFormat="1" ht="11.25" customHeight="1">
      <c r="A8" s="7"/>
      <c r="B8" s="8"/>
      <c r="C8" s="12" t="s">
        <v>1</v>
      </c>
      <c r="D8" s="12" t="s">
        <v>1</v>
      </c>
      <c r="E8" s="12" t="s">
        <v>1</v>
      </c>
    </row>
    <row r="9" spans="1:7" s="4" customFormat="1" ht="15.6">
      <c r="A9" s="10" t="s">
        <v>114</v>
      </c>
      <c r="B9" s="8"/>
      <c r="C9" s="13">
        <f>SUM(C5:C8)</f>
        <v>4133508.2999999993</v>
      </c>
      <c r="D9" s="13">
        <f t="shared" ref="D9:E9" si="0">SUM(D5:D8)</f>
        <v>3252602.6599999992</v>
      </c>
      <c r="E9" s="13">
        <f t="shared" si="0"/>
        <v>1201205</v>
      </c>
    </row>
    <row r="10" spans="1:7" s="4" customFormat="1" ht="15.6">
      <c r="A10" s="7" t="s">
        <v>115</v>
      </c>
      <c r="B10" s="8">
        <v>5</v>
      </c>
      <c r="C10" s="11">
        <f>-'[4]Notes-18'!B85</f>
        <v>-3268767.8377250009</v>
      </c>
      <c r="D10" s="11">
        <f>'[4]P&amp;L-17'!C11</f>
        <v>-3103711.7849829993</v>
      </c>
      <c r="E10" s="4">
        <v>-1153111</v>
      </c>
    </row>
    <row r="11" spans="1:7" s="4" customFormat="1" ht="12" customHeight="1">
      <c r="A11" s="7"/>
      <c r="B11" s="8"/>
      <c r="C11" s="12" t="s">
        <v>1</v>
      </c>
      <c r="D11" s="12" t="s">
        <v>1</v>
      </c>
      <c r="E11" s="12" t="s">
        <v>1</v>
      </c>
    </row>
    <row r="12" spans="1:7" s="4" customFormat="1" ht="15.6">
      <c r="A12" s="10" t="s">
        <v>116</v>
      </c>
      <c r="B12" s="8"/>
      <c r="C12" s="14">
        <f>C9+C10</f>
        <v>864740.46227499843</v>
      </c>
      <c r="D12" s="14">
        <f t="shared" ref="D12:E12" si="1">D9+D10</f>
        <v>148890.8750169999</v>
      </c>
      <c r="E12" s="14">
        <f t="shared" si="1"/>
        <v>48094</v>
      </c>
    </row>
    <row r="13" spans="1:7" s="4" customFormat="1" ht="15.6">
      <c r="A13" s="7" t="s">
        <v>117</v>
      </c>
      <c r="B13" s="8">
        <v>6</v>
      </c>
      <c r="C13" s="11">
        <f>'[4]Notes-18'!B136</f>
        <v>700817.42</v>
      </c>
      <c r="D13" s="11">
        <f>'[4]P&amp;L-17'!C14</f>
        <v>655979.36</v>
      </c>
      <c r="G13" s="4" t="s">
        <v>2</v>
      </c>
    </row>
    <row r="14" spans="1:7" s="4" customFormat="1" ht="12" customHeight="1">
      <c r="A14" s="7"/>
      <c r="B14" s="8"/>
      <c r="C14" s="12" t="s">
        <v>1</v>
      </c>
      <c r="D14" s="12" t="s">
        <v>1</v>
      </c>
      <c r="E14" s="12" t="s">
        <v>1</v>
      </c>
    </row>
    <row r="15" spans="1:7" s="4" customFormat="1" ht="15.6">
      <c r="A15" s="10" t="s">
        <v>118</v>
      </c>
      <c r="B15" s="8"/>
      <c r="C15" s="13">
        <f>SUM(C12:C14)</f>
        <v>1565557.8822749984</v>
      </c>
      <c r="D15" s="13">
        <f t="shared" ref="D15:E15" si="2">SUM(D12:D14)</f>
        <v>804870.23501699988</v>
      </c>
      <c r="E15" s="13">
        <f t="shared" si="2"/>
        <v>48094</v>
      </c>
    </row>
    <row r="16" spans="1:7" s="4" customFormat="1" ht="15.6">
      <c r="A16" s="7" t="s">
        <v>119</v>
      </c>
      <c r="B16" s="8"/>
      <c r="C16" s="15">
        <f>-'[4]Notes-17'!B150</f>
        <v>0</v>
      </c>
      <c r="D16" s="15">
        <f>-'[4]Notes-17'!C150</f>
        <v>0</v>
      </c>
      <c r="E16" s="15">
        <f>-'[4]Notes-17'!D150</f>
        <v>0</v>
      </c>
    </row>
    <row r="17" spans="1:5" s="4" customFormat="1" ht="12" customHeight="1">
      <c r="A17" s="7"/>
      <c r="B17" s="8"/>
      <c r="C17" s="12" t="s">
        <v>1</v>
      </c>
      <c r="D17" s="12" t="s">
        <v>1</v>
      </c>
      <c r="E17" s="12" t="s">
        <v>1</v>
      </c>
    </row>
    <row r="18" spans="1:5" s="4" customFormat="1" ht="15.6">
      <c r="A18" s="10" t="s">
        <v>120</v>
      </c>
      <c r="B18" s="8"/>
      <c r="C18" s="13">
        <f>SUM(C15:C17)</f>
        <v>1565557.8822749984</v>
      </c>
      <c r="D18" s="13">
        <f t="shared" ref="D18:E18" si="3">SUM(D15:D17)</f>
        <v>804870.23501699988</v>
      </c>
      <c r="E18" s="13">
        <f t="shared" si="3"/>
        <v>48094</v>
      </c>
    </row>
    <row r="19" spans="1:5" s="4" customFormat="1" ht="15.6">
      <c r="A19" s="7" t="s">
        <v>121</v>
      </c>
      <c r="B19" s="8">
        <v>7</v>
      </c>
      <c r="C19" s="15">
        <f>-'[4]Notes-18'!B143</f>
        <v>-360054.21463999955</v>
      </c>
      <c r="D19" s="15">
        <f>'[4]P&amp;L-17'!C20</f>
        <v>-163994.84</v>
      </c>
      <c r="E19" s="4">
        <v>-9999</v>
      </c>
    </row>
    <row r="20" spans="1:5" s="4" customFormat="1" ht="12" customHeight="1">
      <c r="A20" s="7"/>
      <c r="B20" s="8"/>
      <c r="C20" s="12" t="s">
        <v>1</v>
      </c>
      <c r="D20" s="12" t="s">
        <v>1</v>
      </c>
      <c r="E20" s="12" t="s">
        <v>1</v>
      </c>
    </row>
    <row r="21" spans="1:5" s="4" customFormat="1" ht="15.6">
      <c r="A21" s="7" t="s">
        <v>122</v>
      </c>
      <c r="B21" s="8"/>
      <c r="C21" s="13">
        <f>SUM(C18:C20)</f>
        <v>1205503.6676349989</v>
      </c>
      <c r="D21" s="13">
        <f t="shared" ref="D21:E21" si="4">SUM(D18:D20)</f>
        <v>640875.39501699992</v>
      </c>
      <c r="E21" s="13">
        <f t="shared" si="4"/>
        <v>38095</v>
      </c>
    </row>
    <row r="22" spans="1:5" s="4" customFormat="1" ht="15.6">
      <c r="A22" s="7" t="s">
        <v>123</v>
      </c>
      <c r="B22" s="8"/>
      <c r="C22" s="15">
        <v>0</v>
      </c>
      <c r="D22" s="15">
        <v>1</v>
      </c>
      <c r="E22" s="15">
        <v>2</v>
      </c>
    </row>
    <row r="23" spans="1:5" s="4" customFormat="1" ht="12" customHeight="1">
      <c r="A23" s="7"/>
      <c r="B23" s="8"/>
      <c r="C23" s="12" t="s">
        <v>1</v>
      </c>
      <c r="D23" s="12" t="s">
        <v>1</v>
      </c>
      <c r="E23" s="12" t="s">
        <v>1</v>
      </c>
    </row>
    <row r="24" spans="1:5" s="4" customFormat="1" ht="15.6">
      <c r="A24" s="10" t="s">
        <v>100</v>
      </c>
      <c r="B24" s="8"/>
      <c r="C24" s="13">
        <f>SUM(C21:C23)</f>
        <v>1205503.6676349989</v>
      </c>
      <c r="D24" s="13">
        <f t="shared" ref="D24" si="5">SUM(D21:D23)</f>
        <v>640876.39501699992</v>
      </c>
      <c r="E24" s="13">
        <f>SUM(E21:E23)</f>
        <v>38097</v>
      </c>
    </row>
    <row r="25" spans="1:5" s="4" customFormat="1" ht="12.75" customHeight="1">
      <c r="A25" s="7"/>
      <c r="B25" s="8"/>
      <c r="C25" s="16" t="s">
        <v>3</v>
      </c>
      <c r="D25" s="16" t="s">
        <v>3</v>
      </c>
      <c r="E25" s="16" t="s">
        <v>3</v>
      </c>
    </row>
    <row r="26" spans="1:5" s="4" customFormat="1" ht="15.6">
      <c r="A26" s="17"/>
      <c r="C26" s="18"/>
      <c r="D26" s="18"/>
    </row>
    <row r="27" spans="1:5" s="4" customFormat="1" ht="15.6">
      <c r="A27" s="17"/>
    </row>
    <row r="28" spans="1:5" s="4" customFormat="1" ht="15.6">
      <c r="A28" s="19"/>
    </row>
    <row r="29" spans="1:5" s="4" customFormat="1" ht="15.6">
      <c r="A29" s="19"/>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
  <sheetViews>
    <sheetView zoomScale="80" zoomScaleNormal="80" workbookViewId="0">
      <selection activeCell="M26" sqref="M26"/>
    </sheetView>
  </sheetViews>
  <sheetFormatPr baseColWidth="10" defaultRowHeight="13.8"/>
  <cols>
    <col min="4" max="4" width="27.44140625" customWidth="1"/>
    <col min="8" max="8" width="12" bestFit="1" customWidth="1"/>
  </cols>
  <sheetData>
    <row r="1" spans="1:9" ht="23.4">
      <c r="A1" s="38" t="s">
        <v>9</v>
      </c>
      <c r="F1" s="40" t="s">
        <v>8</v>
      </c>
      <c r="G1" s="40" t="s">
        <v>7</v>
      </c>
      <c r="H1" s="40" t="s">
        <v>6</v>
      </c>
    </row>
    <row r="2" spans="1:9">
      <c r="A2" s="128"/>
      <c r="B2" s="129"/>
      <c r="C2" s="129"/>
      <c r="D2" s="129"/>
      <c r="F2" s="37"/>
      <c r="G2" s="37"/>
      <c r="H2" s="37"/>
      <c r="I2" s="35"/>
    </row>
    <row r="3" spans="1:9">
      <c r="A3" s="128" t="s">
        <v>124</v>
      </c>
      <c r="B3" s="129"/>
      <c r="C3" s="129"/>
      <c r="D3" s="129"/>
      <c r="F3" s="41">
        <f>+'Bilan-18'!C26/'Bilan-18'!C19</f>
        <v>0.42024193477928151</v>
      </c>
      <c r="G3" s="41">
        <f>+'Bilan-18'!D26/'Bilan-18'!D19</f>
        <v>0.22687593577316928</v>
      </c>
      <c r="H3" s="41">
        <f>+'Bilan-18'!E26/'Bilan-18'!E19</f>
        <v>0.38349445701437701</v>
      </c>
      <c r="I3" s="35"/>
    </row>
    <row r="4" spans="1:9">
      <c r="A4" s="128" t="s">
        <v>125</v>
      </c>
      <c r="B4" s="129"/>
      <c r="C4" s="129"/>
      <c r="D4" s="129"/>
      <c r="F4" s="41">
        <f>+'Bilan-18'!C26/('Bilan-18'!C26+'Bilan-18'!C32)</f>
        <v>0.57862189776674255</v>
      </c>
      <c r="G4" s="41">
        <f>+'Bilan-18'!D26/('Bilan-18'!D26+'Bilan-18'!D32)</f>
        <v>0.31888088440987544</v>
      </c>
      <c r="H4" s="41">
        <f>+'Bilan-18'!E26/('Bilan-18'!E26+'Bilan-18'!E32)</f>
        <v>0.92187619883888461</v>
      </c>
      <c r="I4" s="36"/>
    </row>
    <row r="5" spans="1:9">
      <c r="A5" s="128"/>
      <c r="B5" s="129"/>
      <c r="C5" s="129"/>
      <c r="D5" s="129"/>
      <c r="F5" s="42"/>
      <c r="G5" s="42"/>
      <c r="H5" s="42"/>
      <c r="I5" s="36"/>
    </row>
    <row r="6" spans="1:9" ht="14.4">
      <c r="A6" s="34" t="s">
        <v>126</v>
      </c>
      <c r="F6" s="43"/>
      <c r="G6" s="43"/>
      <c r="H6" s="43"/>
      <c r="I6" s="35"/>
    </row>
    <row r="7" spans="1:9">
      <c r="A7" s="33" t="s">
        <v>127</v>
      </c>
      <c r="B7" s="32"/>
      <c r="C7" s="32"/>
      <c r="D7" s="32"/>
      <c r="E7" s="32"/>
      <c r="F7" s="41">
        <f>+'CR-18'!C21/'Bilan-18'!C26</f>
        <v>0.63848129012761168</v>
      </c>
      <c r="G7" s="41">
        <f>+'CR-18'!D21/'Bilan-18'!D26</f>
        <v>0.93890674496045412</v>
      </c>
      <c r="H7" s="41">
        <f>+'CR-18'!E21/'Bilan-18'!E26</f>
        <v>0.17614230097006575</v>
      </c>
      <c r="I7" s="35"/>
    </row>
    <row r="8" spans="1:9">
      <c r="A8" s="33" t="s">
        <v>128</v>
      </c>
      <c r="B8" s="32"/>
      <c r="C8" s="32"/>
      <c r="D8" s="32"/>
      <c r="E8" s="32"/>
      <c r="F8" s="41">
        <f>+'CR-18'!C21/'CR-18'!C5</f>
        <v>9.2990759024189323E-2</v>
      </c>
      <c r="G8" s="41">
        <f>+'CR-18'!D21/'CR-18'!D5</f>
        <v>5.5380251861980132E-2</v>
      </c>
      <c r="H8" s="41">
        <f>+'CR-18'!E21/'CR-18'!E5</f>
        <v>9.762394165986071E-3</v>
      </c>
      <c r="I8" s="35"/>
    </row>
    <row r="9" spans="1:9">
      <c r="A9" s="33" t="s">
        <v>129</v>
      </c>
      <c r="B9" s="32"/>
      <c r="C9" s="32"/>
      <c r="D9" s="32"/>
      <c r="F9" s="41">
        <f>+'Bilan-18'!C16/'Bilan-18'!C39</f>
        <v>2.776616367725576</v>
      </c>
      <c r="G9" s="41">
        <f>+'Bilan-18'!D16/'Bilan-18'!D39</f>
        <v>2.2986411455087317</v>
      </c>
      <c r="H9" s="41">
        <f>+'Bilan-18'!E16/'Bilan-18'!E39</f>
        <v>1.1055186820260268</v>
      </c>
    </row>
    <row r="10" spans="1:9">
      <c r="A10" s="32"/>
      <c r="B10" s="32"/>
      <c r="C10" s="32"/>
      <c r="D10" s="32"/>
      <c r="F10" s="43"/>
      <c r="G10" s="43"/>
      <c r="H10" s="43"/>
    </row>
    <row r="11" spans="1:9" ht="14.4">
      <c r="A11" s="39" t="s">
        <v>130</v>
      </c>
      <c r="F11" s="43"/>
      <c r="G11" s="43"/>
      <c r="H11" s="43"/>
    </row>
    <row r="12" spans="1:9">
      <c r="A12" t="s">
        <v>131</v>
      </c>
      <c r="F12" s="44">
        <f>(('Bilan-18'!C16-'Bilan-18'!C11)/'CR-18'!C5)*365</f>
        <v>96.140486143687426</v>
      </c>
      <c r="G12" s="44">
        <f>(('Bilan-18'!D16-'Bilan-18'!D11)/'CR-18'!D5)*365</f>
        <v>62.934764418101537</v>
      </c>
      <c r="H12" s="44">
        <f>(('Bilan-18'!E16-'Bilan-18'!E11)/'CR-18'!E5)*365</f>
        <v>34.057303037066859</v>
      </c>
    </row>
    <row r="13" spans="1:9">
      <c r="A13" t="s">
        <v>132</v>
      </c>
      <c r="F13" s="44">
        <f>('Bilan-18'!C35/-'CR-18'!C6)*365</f>
        <v>46.801387560367253</v>
      </c>
      <c r="G13" s="44">
        <f>('Bilan-18'!D35/-'CR-18'!D6)*365</f>
        <v>62.056704616919689</v>
      </c>
      <c r="H13" s="44">
        <f>('Bilan-18'!E35/-'CR-18'!E6)*365</f>
        <v>44.507066605356364</v>
      </c>
    </row>
    <row r="14" spans="1:9">
      <c r="A14" t="s">
        <v>133</v>
      </c>
      <c r="F14" s="44">
        <f>+'CR-18'!C5/('Bilan-18'!C16-'Bilan-18'!C11)</f>
        <v>3.7965275051187777</v>
      </c>
      <c r="G14" s="44">
        <f>+'CR-18'!D5/('Bilan-18'!D16-'Bilan-18'!D11)</f>
        <v>5.7996562531823406</v>
      </c>
      <c r="H14" s="44">
        <f>+'CR-18'!E5/('Bilan-18'!E16-'Bilan-18'!E11)</f>
        <v>10.717231473165855</v>
      </c>
    </row>
    <row r="15" spans="1:9">
      <c r="A15" t="s">
        <v>134</v>
      </c>
      <c r="F15" s="44" t="e">
        <f>'CR-18'!C5/'Bilan-18'!C11</f>
        <v>#DIV/0!</v>
      </c>
      <c r="G15" s="44" t="e">
        <f>'CR-18'!D5/'Bilan-18'!D11</f>
        <v>#DIV/0!</v>
      </c>
      <c r="H15" s="44" t="e">
        <f>'CR-18'!E5/'Bilan-18'!E11</f>
        <v>#DIV/0!</v>
      </c>
    </row>
    <row r="16" spans="1:9">
      <c r="A16" t="s">
        <v>135</v>
      </c>
      <c r="F16" s="44">
        <f>+'CR-18'!C5/'Bilan-18'!C8</f>
        <v>12.023216897649526</v>
      </c>
      <c r="G16" s="44">
        <f>+'CR-18'!D5/'Bilan-18'!D8</f>
        <v>11.420943679649366</v>
      </c>
      <c r="H16" s="44">
        <f>+'CR-18'!E5/'Bilan-18'!E8</f>
        <v>19.52583700694024</v>
      </c>
    </row>
    <row r="17" spans="1:8">
      <c r="F17" s="43"/>
      <c r="G17" s="43"/>
      <c r="H17" s="43"/>
    </row>
    <row r="18" spans="1:8" ht="14.4">
      <c r="A18" s="39" t="s">
        <v>136</v>
      </c>
      <c r="F18" s="43"/>
      <c r="G18" s="43"/>
      <c r="H18" s="43"/>
    </row>
    <row r="19" spans="1:8">
      <c r="A19" t="s">
        <v>137</v>
      </c>
      <c r="F19" s="41">
        <f>('Bilan-18'!C29+'Bilan-18'!C35)/'Bilan-18'!C42</f>
        <v>0.27371925462986058</v>
      </c>
      <c r="G19" s="41">
        <f>('Bilan-18'!D29+'Bilan-18'!D35)/'Bilan-18'!D42</f>
        <v>0.4087555434749966</v>
      </c>
      <c r="H19" s="41">
        <f>('Bilan-18'!E29+'Bilan-18'!E35)/'Bilan-18'!E42</f>
        <v>0.61650554298562299</v>
      </c>
    </row>
    <row r="20" spans="1:8">
      <c r="A20" t="s">
        <v>138</v>
      </c>
      <c r="F20" s="41">
        <f>'Bilan-18'!C29/'Bilan-18'!C8</f>
        <v>0</v>
      </c>
      <c r="G20" s="41">
        <f>'Bilan-18'!D29/'Bilan-18'!D8</f>
        <v>0</v>
      </c>
      <c r="H20" s="41">
        <f>'Bilan-18'!E29/'Bilan-18'!E8</f>
        <v>9.1709240476559803E-2</v>
      </c>
    </row>
    <row r="21" spans="1:8">
      <c r="A21" t="s">
        <v>139</v>
      </c>
      <c r="F21" s="41">
        <f>'Bilan-18'!C39/'Bilan-18'!C8</f>
        <v>1.140560302481936</v>
      </c>
      <c r="G21" s="41">
        <f>'Bilan-18'!D39/'Bilan-18'!D8</f>
        <v>0.85669959189195799</v>
      </c>
      <c r="H21" s="41">
        <f>'Bilan-18'!E39/'Bilan-18'!E8</f>
        <v>1.6480142507593234</v>
      </c>
    </row>
    <row r="22" spans="1:8">
      <c r="A22" t="s">
        <v>140</v>
      </c>
      <c r="F22" s="42" t="e">
        <f>'[5]Income statement'!I37/'[5]Income statement'!I34</f>
        <v>#DIV/0!</v>
      </c>
      <c r="G22" s="42" t="e">
        <f>'[5]Income statement'!J37/'[5]Income statement'!J34</f>
        <v>#DIV/0!</v>
      </c>
      <c r="H22" s="42" t="e">
        <f>'[5]Income statement'!K37/'[5]Income statement'!K34</f>
        <v>#DIV/0!</v>
      </c>
    </row>
    <row r="23" spans="1:8">
      <c r="F23" s="43"/>
      <c r="G23" s="43"/>
      <c r="H23" s="43"/>
    </row>
    <row r="24" spans="1:8" ht="14.4">
      <c r="A24" s="39" t="s">
        <v>141</v>
      </c>
      <c r="F24" s="43"/>
      <c r="G24" s="43"/>
      <c r="H24" s="43"/>
    </row>
    <row r="25" spans="1:8">
      <c r="A25" t="s">
        <v>142</v>
      </c>
      <c r="F25" s="41">
        <f>'Bilan-18'!C16/'Bilan-18'!C39</f>
        <v>2.776616367725576</v>
      </c>
      <c r="G25" s="41">
        <f>'Bilan-18'!D16/'Bilan-18'!D39</f>
        <v>2.2986411455087317</v>
      </c>
      <c r="H25" s="41">
        <f>'Bilan-18'!E16/'Bilan-18'!E39</f>
        <v>1.1055186820260268</v>
      </c>
    </row>
    <row r="26" spans="1:8">
      <c r="A26" t="s">
        <v>143</v>
      </c>
      <c r="F26" s="41">
        <f>('Bilan-18'!C16-'Bilan-18'!C11)/'Bilan-18'!C39</f>
        <v>2.776616367725576</v>
      </c>
      <c r="G26" s="41">
        <f>('Bilan-18'!D16-'Bilan-18'!D11)/'Bilan-18'!D39</f>
        <v>2.2986411455087317</v>
      </c>
      <c r="H26" s="41">
        <f>('Bilan-18'!E16-'Bilan-18'!E11)/'Bilan-18'!E39</f>
        <v>1.1055186820260268</v>
      </c>
    </row>
    <row r="27" spans="1:8">
      <c r="A27" t="s">
        <v>144</v>
      </c>
      <c r="F27" s="42">
        <f>'Bilan-18'!C8/'Bilan-18'!C19</f>
        <v>0.23998665265757529</v>
      </c>
      <c r="G27" s="42">
        <f>'Bilan-18'!D8/'Bilan-18'!D19</f>
        <v>0.33678595843371767</v>
      </c>
      <c r="H27" s="42">
        <f>'Bilan-18'!E8/'Bilan-18'!E19</f>
        <v>0.35436984445595049</v>
      </c>
    </row>
    <row r="28" spans="1:8">
      <c r="A28" t="s">
        <v>145</v>
      </c>
      <c r="F28" s="42">
        <f>'Bilan-18'!C29/'Bilan-18'!C26</f>
        <v>0</v>
      </c>
      <c r="G28" s="42">
        <f>'Bilan-18'!D29/'Bilan-18'!D26</f>
        <v>0</v>
      </c>
      <c r="H28" s="42">
        <f>'Bilan-18'!E29/'Bilan-18'!E26</f>
        <v>8.474435207190878E-2</v>
      </c>
    </row>
  </sheetData>
  <pageMargins left="0.7" right="0.7" top="0.75" bottom="0.75"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F1526-A15F-473F-B331-5A5705E19B48}">
  <dimension ref="A1:V56"/>
  <sheetViews>
    <sheetView tabSelected="1" topLeftCell="A28" workbookViewId="0">
      <selection activeCell="K7" sqref="K7"/>
    </sheetView>
  </sheetViews>
  <sheetFormatPr baseColWidth="10" defaultRowHeight="13.8"/>
  <cols>
    <col min="1" max="1" width="16.44140625" customWidth="1"/>
    <col min="9" max="9" width="6.5546875" customWidth="1"/>
    <col min="10" max="10" width="17.77734375" customWidth="1"/>
  </cols>
  <sheetData>
    <row r="1" spans="1:20" s="46" customFormat="1" ht="21">
      <c r="A1" s="134" t="s">
        <v>23</v>
      </c>
      <c r="B1" s="135"/>
      <c r="C1" s="135"/>
      <c r="D1" s="135"/>
      <c r="E1" s="135"/>
      <c r="F1" s="135"/>
      <c r="G1" s="135"/>
      <c r="H1" s="136"/>
      <c r="I1"/>
    </row>
    <row r="2" spans="1:20" s="46" customFormat="1" ht="14.4">
      <c r="A2" s="76"/>
      <c r="B2" s="77"/>
      <c r="C2" s="77"/>
      <c r="D2" s="77"/>
      <c r="E2" s="77"/>
      <c r="F2" s="77"/>
      <c r="G2" s="77"/>
      <c r="H2" s="78"/>
      <c r="I2"/>
    </row>
    <row r="3" spans="1:20" s="46" customFormat="1">
      <c r="A3" s="79" t="s">
        <v>24</v>
      </c>
      <c r="B3" s="80"/>
      <c r="C3" s="81"/>
      <c r="D3" s="82"/>
      <c r="E3" s="83" t="s">
        <v>25</v>
      </c>
      <c r="F3" s="83" t="s">
        <v>26</v>
      </c>
      <c r="G3" s="83" t="s">
        <v>26</v>
      </c>
      <c r="H3" s="83" t="s">
        <v>27</v>
      </c>
      <c r="I3" s="84"/>
    </row>
    <row r="4" spans="1:20" s="46" customFormat="1">
      <c r="A4" s="85"/>
      <c r="B4" s="86"/>
      <c r="C4" s="87"/>
      <c r="D4" s="88" t="s">
        <v>28</v>
      </c>
      <c r="E4" s="85"/>
      <c r="F4" s="85"/>
      <c r="G4" s="89" t="s">
        <v>29</v>
      </c>
      <c r="H4" s="89" t="s">
        <v>30</v>
      </c>
      <c r="I4" s="84"/>
    </row>
    <row r="5" spans="1:20" s="46" customFormat="1">
      <c r="A5" s="90" t="s">
        <v>31</v>
      </c>
      <c r="B5" s="91" t="s">
        <v>32</v>
      </c>
      <c r="C5" s="91"/>
      <c r="D5" s="91"/>
      <c r="E5" s="92">
        <v>0.56999999999999995</v>
      </c>
      <c r="F5" s="93"/>
      <c r="G5" s="93"/>
      <c r="H5" s="93">
        <v>0.56999999999999995</v>
      </c>
      <c r="I5" s="84"/>
    </row>
    <row r="6" spans="1:20" s="46" customFormat="1" ht="14.4">
      <c r="A6" s="94" t="s">
        <v>33</v>
      </c>
      <c r="B6" t="s">
        <v>34</v>
      </c>
      <c r="C6"/>
      <c r="D6"/>
      <c r="E6" s="94">
        <v>5.3499999999999999E-2</v>
      </c>
      <c r="F6" s="95">
        <f>(+E33)</f>
        <v>0</v>
      </c>
      <c r="G6" s="95">
        <f>IF(F6&lt;0,0,IF(F6&gt;100,100,F6))</f>
        <v>0</v>
      </c>
      <c r="H6" s="95">
        <f t="shared" ref="H6:H11" si="0">+E6*G6</f>
        <v>0</v>
      </c>
      <c r="I6"/>
    </row>
    <row r="7" spans="1:20" s="46" customFormat="1" ht="14.4">
      <c r="A7" s="94" t="s">
        <v>35</v>
      </c>
      <c r="B7" t="s">
        <v>36</v>
      </c>
      <c r="C7"/>
      <c r="D7"/>
      <c r="E7" s="94">
        <v>1.15E-2</v>
      </c>
      <c r="F7" s="95">
        <f>(+E37)</f>
        <v>250.75065935742731</v>
      </c>
      <c r="G7" s="95">
        <f>IF(F7&lt;0,0,IF(F7&gt;200,200,F7))</f>
        <v>200</v>
      </c>
      <c r="H7" s="95">
        <f t="shared" si="0"/>
        <v>2.2999999999999998</v>
      </c>
      <c r="I7"/>
      <c r="L7" s="137" t="s">
        <v>10</v>
      </c>
      <c r="M7" s="138"/>
      <c r="N7" s="138"/>
      <c r="O7" s="138"/>
      <c r="P7" s="138"/>
      <c r="Q7" s="138"/>
    </row>
    <row r="8" spans="1:20" s="46" customFormat="1" ht="14.4">
      <c r="A8" s="94" t="s">
        <v>37</v>
      </c>
      <c r="B8" t="s">
        <v>38</v>
      </c>
      <c r="C8"/>
      <c r="D8"/>
      <c r="E8" s="94">
        <v>3.7100000000000001E-2</v>
      </c>
      <c r="F8" s="95">
        <f>(+E41)</f>
        <v>72.628074537013958</v>
      </c>
      <c r="G8" s="95">
        <f>IF(F8&lt;-25,-25,IF(F8&gt;100,100,F8))</f>
        <v>72.628074537013958</v>
      </c>
      <c r="H8" s="95">
        <f t="shared" si="0"/>
        <v>2.6945015653232178</v>
      </c>
      <c r="I8"/>
      <c r="L8" s="138"/>
      <c r="M8" s="138"/>
      <c r="N8" s="138"/>
      <c r="O8" s="138"/>
      <c r="P8" s="138"/>
      <c r="Q8" s="138"/>
    </row>
    <row r="9" spans="1:20" s="46" customFormat="1" ht="15" thickBot="1">
      <c r="A9" s="94" t="s">
        <v>39</v>
      </c>
      <c r="B9" t="s">
        <v>40</v>
      </c>
      <c r="C9"/>
      <c r="D9"/>
      <c r="E9" s="94">
        <v>2.46E-2</v>
      </c>
      <c r="F9" s="95">
        <f>(+E45)</f>
        <v>31.885267923230238</v>
      </c>
      <c r="G9" s="95">
        <f>IF(F9&lt;0,0,IF(F9&gt;100,100,F9))</f>
        <v>31.885267923230238</v>
      </c>
      <c r="H9" s="95">
        <f t="shared" si="0"/>
        <v>0.78437759091146386</v>
      </c>
      <c r="I9"/>
      <c r="M9" s="139" t="s">
        <v>8</v>
      </c>
      <c r="N9" s="140"/>
    </row>
    <row r="10" spans="1:20" s="46" customFormat="1" ht="15" thickTop="1">
      <c r="A10" s="94" t="s">
        <v>41</v>
      </c>
      <c r="B10" t="s">
        <v>42</v>
      </c>
      <c r="C10"/>
      <c r="D10"/>
      <c r="E10" s="94">
        <v>1.15E-2</v>
      </c>
      <c r="F10" s="95">
        <f>+E49</f>
        <v>8.6524898830199639</v>
      </c>
      <c r="G10" s="95">
        <f>IF(F10&lt;-100,-100,IF(F10&gt;100,100,F10))</f>
        <v>8.6524898830199639</v>
      </c>
      <c r="H10" s="95">
        <f t="shared" si="0"/>
        <v>9.9503633654729584E-2</v>
      </c>
      <c r="I10"/>
      <c r="J10" s="141" t="s">
        <v>43</v>
      </c>
      <c r="K10" s="142"/>
      <c r="L10" s="142"/>
      <c r="M10" s="142"/>
      <c r="N10" s="142"/>
      <c r="O10" s="142"/>
      <c r="P10" s="142"/>
      <c r="Q10" s="142"/>
      <c r="R10" s="142"/>
      <c r="S10" s="142"/>
      <c r="T10" s="142"/>
    </row>
    <row r="11" spans="1:20" s="46" customFormat="1" ht="15" customHeight="1" thickBot="1">
      <c r="A11" s="96" t="s">
        <v>44</v>
      </c>
      <c r="B11" s="97" t="s">
        <v>45</v>
      </c>
      <c r="C11" s="97"/>
      <c r="D11" s="97"/>
      <c r="E11" s="96">
        <v>9.5999999999999992E-3</v>
      </c>
      <c r="F11" s="98">
        <f>+E53</f>
        <v>4.9816280212993957</v>
      </c>
      <c r="G11" s="98">
        <f>IF(F11&lt;-100,-100,IF(F11&gt;150,150,F11))</f>
        <v>4.9816280212993957</v>
      </c>
      <c r="H11" s="98">
        <f t="shared" si="0"/>
        <v>4.7823629004474198E-2</v>
      </c>
      <c r="I11"/>
      <c r="J11" s="142"/>
      <c r="K11" s="142"/>
      <c r="L11" s="142"/>
      <c r="M11" s="142"/>
      <c r="N11" s="142"/>
      <c r="O11" s="142"/>
      <c r="P11" s="142"/>
      <c r="Q11" s="142"/>
      <c r="R11" s="142"/>
      <c r="S11" s="142"/>
      <c r="T11" s="142"/>
    </row>
    <row r="12" spans="1:20" s="46" customFormat="1" ht="14.4">
      <c r="A12"/>
      <c r="B12"/>
      <c r="C12"/>
      <c r="D12"/>
      <c r="E12"/>
      <c r="F12" s="99"/>
      <c r="G12" s="99"/>
      <c r="H12" s="99"/>
      <c r="I12"/>
      <c r="J12" s="142"/>
      <c r="K12" s="142"/>
      <c r="L12" s="142"/>
      <c r="M12" s="142"/>
      <c r="N12" s="142"/>
      <c r="O12" s="142"/>
      <c r="P12" s="142"/>
      <c r="Q12" s="142"/>
      <c r="R12" s="142"/>
      <c r="S12" s="142"/>
      <c r="T12" s="142"/>
    </row>
    <row r="13" spans="1:20" s="46" customFormat="1" ht="15" thickBot="1">
      <c r="A13"/>
      <c r="B13"/>
      <c r="C13"/>
      <c r="D13"/>
      <c r="E13"/>
      <c r="F13" s="99"/>
      <c r="G13" s="99"/>
      <c r="H13" s="99"/>
      <c r="I13"/>
      <c r="J13" s="143"/>
      <c r="K13" s="143"/>
      <c r="L13" s="143"/>
      <c r="M13" s="143"/>
      <c r="N13" s="143"/>
      <c r="O13" s="143"/>
      <c r="P13" s="143"/>
      <c r="Q13" s="143"/>
      <c r="R13" s="143"/>
      <c r="S13" s="143"/>
      <c r="T13" s="143"/>
    </row>
    <row r="14" spans="1:20" s="46" customFormat="1" ht="42" customHeight="1" thickTop="1" thickBot="1">
      <c r="A14"/>
      <c r="B14"/>
      <c r="C14"/>
      <c r="D14"/>
      <c r="E14"/>
      <c r="F14"/>
      <c r="G14"/>
      <c r="H14"/>
      <c r="I14"/>
      <c r="J14" s="100" t="s">
        <v>14</v>
      </c>
      <c r="K14" s="144" t="s">
        <v>15</v>
      </c>
      <c r="L14" s="145"/>
      <c r="M14" s="146"/>
      <c r="N14" s="147" t="s">
        <v>16</v>
      </c>
      <c r="O14" s="148"/>
      <c r="P14" s="149" t="s">
        <v>17</v>
      </c>
      <c r="Q14" s="150"/>
      <c r="R14" s="150"/>
      <c r="S14" s="150"/>
      <c r="T14" s="151"/>
    </row>
    <row r="15" spans="1:20" s="46" customFormat="1" ht="37.200000000000003" customHeight="1" thickTop="1" thickBot="1">
      <c r="A15"/>
      <c r="B15"/>
      <c r="C15"/>
      <c r="D15"/>
      <c r="E15"/>
      <c r="F15"/>
      <c r="G15"/>
      <c r="H15"/>
      <c r="I15"/>
      <c r="J15" s="60">
        <v>0</v>
      </c>
      <c r="K15" s="61">
        <v>1</v>
      </c>
      <c r="L15" s="61">
        <v>2</v>
      </c>
      <c r="M15" s="61">
        <v>3</v>
      </c>
      <c r="N15" s="62">
        <v>4</v>
      </c>
      <c r="O15" s="62">
        <v>5</v>
      </c>
      <c r="P15" s="63">
        <v>6</v>
      </c>
      <c r="Q15" s="63">
        <v>7</v>
      </c>
      <c r="R15" s="63">
        <v>8</v>
      </c>
      <c r="S15" s="63">
        <v>9</v>
      </c>
      <c r="T15" s="63">
        <v>10</v>
      </c>
    </row>
    <row r="16" spans="1:20" s="46" customFormat="1" ht="15" thickTop="1">
      <c r="A16" t="s">
        <v>46</v>
      </c>
      <c r="B16"/>
      <c r="C16"/>
      <c r="D16"/>
      <c r="E16"/>
      <c r="F16"/>
      <c r="G16"/>
      <c r="H16"/>
      <c r="I16"/>
    </row>
    <row r="17" spans="1:22" s="46" customFormat="1" ht="15" thickBot="1">
      <c r="A17"/>
      <c r="B17"/>
      <c r="C17"/>
      <c r="D17"/>
      <c r="E17"/>
      <c r="F17"/>
      <c r="G17"/>
      <c r="H17"/>
      <c r="I17"/>
    </row>
    <row r="18" spans="1:22" s="46" customFormat="1" ht="15.6" thickTop="1" thickBot="1">
      <c r="A18"/>
      <c r="B18"/>
      <c r="C18"/>
      <c r="D18"/>
      <c r="E18"/>
      <c r="F18" s="101" t="s">
        <v>47</v>
      </c>
      <c r="G18" s="102"/>
      <c r="H18" s="103">
        <f>SUM(H5:H11)</f>
        <v>6.4962064188938857</v>
      </c>
      <c r="I18"/>
      <c r="J18" s="67" t="s">
        <v>48</v>
      </c>
      <c r="K18" s="67"/>
      <c r="M18" s="104">
        <f>H18</f>
        <v>6.4962064188938857</v>
      </c>
    </row>
    <row r="19" spans="1:22" s="46" customFormat="1" ht="15.6" thickTop="1" thickBot="1">
      <c r="A19" s="105"/>
      <c r="B19" s="105"/>
      <c r="C19" s="105"/>
      <c r="D19" s="105"/>
      <c r="E19" s="105"/>
      <c r="F19" s="105"/>
      <c r="G19" s="105"/>
      <c r="H19" s="105"/>
      <c r="I19"/>
      <c r="J19" s="67" t="s">
        <v>49</v>
      </c>
      <c r="K19" s="67"/>
      <c r="M19" s="106"/>
    </row>
    <row r="20" spans="1:22" s="46" customFormat="1" ht="15.6" thickTop="1" thickBot="1">
      <c r="A20" s="107" t="s">
        <v>50</v>
      </c>
      <c r="B20" s="108"/>
      <c r="C20" s="109" t="s">
        <v>51</v>
      </c>
      <c r="D20" s="110"/>
      <c r="E20" s="107" t="s">
        <v>52</v>
      </c>
      <c r="F20" s="108"/>
      <c r="G20" s="108"/>
      <c r="H20" s="111"/>
      <c r="I20"/>
      <c r="J20" s="67" t="s">
        <v>53</v>
      </c>
      <c r="K20" s="67"/>
      <c r="M20" s="106"/>
    </row>
    <row r="21" spans="1:22" s="46" customFormat="1" ht="15.6" thickTop="1" thickBot="1">
      <c r="A21" s="112"/>
      <c r="B21" s="113"/>
      <c r="C21" s="112"/>
      <c r="D21" s="113"/>
      <c r="E21" s="112"/>
      <c r="F21" s="113"/>
      <c r="G21" s="113"/>
      <c r="H21" s="114"/>
      <c r="I21"/>
    </row>
    <row r="22" spans="1:22" s="46" customFormat="1" ht="15.6" thickTop="1" thickBot="1">
      <c r="A22" s="115" t="s">
        <v>54</v>
      </c>
      <c r="B22" s="116"/>
      <c r="C22" s="117" t="s">
        <v>55</v>
      </c>
      <c r="D22" s="116"/>
      <c r="E22" s="118"/>
      <c r="F22"/>
      <c r="G22"/>
      <c r="H22" s="119"/>
      <c r="I22"/>
      <c r="J22" s="67" t="s">
        <v>56</v>
      </c>
      <c r="K22" s="67"/>
      <c r="M22" s="106"/>
    </row>
    <row r="23" spans="1:22" s="46" customFormat="1" ht="15.6" thickTop="1" thickBot="1">
      <c r="A23" s="117" t="s">
        <v>57</v>
      </c>
      <c r="B23" s="116"/>
      <c r="C23" s="117" t="s">
        <v>58</v>
      </c>
      <c r="D23" s="116"/>
      <c r="E23" s="118" t="s">
        <v>59</v>
      </c>
      <c r="F23"/>
      <c r="G23"/>
      <c r="H23" s="119"/>
      <c r="I23"/>
      <c r="J23" s="67" t="s">
        <v>60</v>
      </c>
      <c r="K23" s="67"/>
      <c r="M23" s="106"/>
    </row>
    <row r="24" spans="1:22" s="46" customFormat="1" ht="15.6" thickTop="1" thickBot="1">
      <c r="A24" s="120" t="s">
        <v>61</v>
      </c>
      <c r="B24" s="121"/>
      <c r="C24" s="122">
        <v>4.96</v>
      </c>
      <c r="D24" s="121"/>
      <c r="E24" s="123"/>
      <c r="F24" s="105"/>
      <c r="G24" s="105"/>
      <c r="H24" s="124"/>
      <c r="I24"/>
      <c r="J24" s="67" t="s">
        <v>62</v>
      </c>
      <c r="K24" s="67"/>
      <c r="M24" s="106"/>
    </row>
    <row r="25" spans="1:22" s="46" customFormat="1" ht="15" thickTop="1">
      <c r="A25" s="117" t="s">
        <v>63</v>
      </c>
      <c r="B25" s="116"/>
      <c r="C25" s="115">
        <v>3.29</v>
      </c>
      <c r="D25" s="116"/>
      <c r="E25" s="118"/>
      <c r="F25"/>
      <c r="G25"/>
      <c r="H25" s="119"/>
      <c r="I25"/>
    </row>
    <row r="26" spans="1:22" s="46" customFormat="1" ht="14.4">
      <c r="A26" s="117" t="s">
        <v>64</v>
      </c>
      <c r="B26" s="116"/>
      <c r="C26" s="115">
        <v>2.15</v>
      </c>
      <c r="D26" s="116"/>
      <c r="E26" s="118" t="s">
        <v>65</v>
      </c>
      <c r="F26"/>
      <c r="G26"/>
      <c r="H26" s="119"/>
      <c r="I26"/>
      <c r="J26" s="130" t="s">
        <v>66</v>
      </c>
      <c r="K26" s="131"/>
      <c r="L26" s="132"/>
      <c r="M26" s="133"/>
      <c r="N26" s="133"/>
      <c r="O26" s="133"/>
      <c r="P26" s="133"/>
      <c r="Q26" s="133"/>
      <c r="R26" s="133"/>
      <c r="S26" s="133"/>
      <c r="T26" s="133"/>
      <c r="U26" s="133"/>
      <c r="V26" s="133"/>
    </row>
    <row r="27" spans="1:22" s="46" customFormat="1" ht="14.4">
      <c r="A27" s="120" t="s">
        <v>67</v>
      </c>
      <c r="B27" s="121"/>
      <c r="C27" s="122">
        <v>1.57</v>
      </c>
      <c r="D27" s="121"/>
      <c r="E27" s="123"/>
      <c r="F27" s="105"/>
      <c r="G27" s="105"/>
      <c r="H27" s="124"/>
      <c r="I27"/>
      <c r="J27" s="131"/>
      <c r="K27" s="131"/>
      <c r="L27" s="133"/>
      <c r="M27" s="133"/>
      <c r="N27" s="133"/>
      <c r="O27" s="133"/>
      <c r="P27" s="133"/>
      <c r="Q27" s="133"/>
      <c r="R27" s="133"/>
      <c r="S27" s="133"/>
      <c r="T27" s="133"/>
      <c r="U27" s="133"/>
      <c r="V27" s="133"/>
    </row>
    <row r="28" spans="1:22" s="46" customFormat="1" ht="14.4">
      <c r="A28" s="117" t="s">
        <v>68</v>
      </c>
      <c r="B28" s="116"/>
      <c r="C28" s="115">
        <v>1.06</v>
      </c>
      <c r="D28" s="116"/>
      <c r="E28" s="118"/>
      <c r="F28"/>
      <c r="G28"/>
      <c r="H28" s="119"/>
      <c r="I28"/>
    </row>
    <row r="29" spans="1:22" s="46" customFormat="1" ht="14.4">
      <c r="A29" s="117" t="s">
        <v>69</v>
      </c>
      <c r="B29" s="116"/>
      <c r="C29" s="115">
        <v>0.64</v>
      </c>
      <c r="D29" s="116"/>
      <c r="E29" s="118" t="s">
        <v>70</v>
      </c>
      <c r="F29"/>
      <c r="G29"/>
      <c r="H29" s="119"/>
      <c r="I29"/>
    </row>
    <row r="30" spans="1:22" s="46" customFormat="1" ht="14.4">
      <c r="A30" s="117" t="s">
        <v>71</v>
      </c>
      <c r="B30" s="116"/>
      <c r="C30" s="115">
        <v>0.38</v>
      </c>
      <c r="D30" s="116"/>
      <c r="E30" s="118"/>
      <c r="F30"/>
      <c r="G30"/>
      <c r="H30" s="119"/>
      <c r="I30"/>
    </row>
    <row r="31" spans="1:22" s="46" customFormat="1" ht="14.4">
      <c r="A31" s="120" t="s">
        <v>72</v>
      </c>
      <c r="B31" s="121"/>
      <c r="C31" s="120" t="s">
        <v>73</v>
      </c>
      <c r="D31" s="121"/>
      <c r="E31" s="123"/>
      <c r="F31" s="105"/>
      <c r="G31" s="105"/>
      <c r="H31" s="124"/>
      <c r="I31"/>
    </row>
    <row r="32" spans="1:22" s="46" customFormat="1" ht="14.4">
      <c r="A32"/>
      <c r="B32"/>
      <c r="C32"/>
      <c r="D32"/>
      <c r="E32"/>
      <c r="F32"/>
      <c r="G32"/>
      <c r="H32"/>
      <c r="I32"/>
    </row>
    <row r="33" spans="1:9" s="46" customFormat="1" ht="14.4">
      <c r="A33" t="s">
        <v>34</v>
      </c>
      <c r="B33"/>
      <c r="C33"/>
      <c r="D33"/>
      <c r="E33">
        <f>(+B34/B35)*100</f>
        <v>0</v>
      </c>
      <c r="F33"/>
      <c r="G33"/>
      <c r="H33"/>
      <c r="I33"/>
    </row>
    <row r="34" spans="1:9" s="46" customFormat="1" ht="14.4">
      <c r="A34" t="s">
        <v>74</v>
      </c>
      <c r="B34">
        <f>'CR-18'!C16</f>
        <v>0</v>
      </c>
      <c r="C34"/>
      <c r="D34"/>
      <c r="E34"/>
      <c r="F34"/>
      <c r="G34"/>
      <c r="H34"/>
      <c r="I34"/>
    </row>
    <row r="35" spans="1:9" s="46" customFormat="1" ht="14.4">
      <c r="A35" t="s">
        <v>75</v>
      </c>
      <c r="B35">
        <f>'CR-18'!C15</f>
        <v>1565557.8822749984</v>
      </c>
      <c r="C35"/>
      <c r="D35"/>
      <c r="E35"/>
      <c r="F35"/>
      <c r="G35"/>
      <c r="H35"/>
      <c r="I35"/>
    </row>
    <row r="36" spans="1:9" s="46" customFormat="1" ht="14.4">
      <c r="A36"/>
      <c r="B36"/>
      <c r="C36"/>
      <c r="D36"/>
      <c r="E36"/>
      <c r="F36"/>
      <c r="G36"/>
      <c r="H36"/>
      <c r="I36"/>
    </row>
    <row r="37" spans="1:9" s="46" customFormat="1" ht="14.4">
      <c r="A37" t="s">
        <v>76</v>
      </c>
      <c r="B37"/>
      <c r="C37"/>
      <c r="D37"/>
      <c r="E37">
        <f>(+B38/B39)*100</f>
        <v>250.75065935742731</v>
      </c>
      <c r="F37"/>
      <c r="G37"/>
      <c r="H37"/>
      <c r="I37"/>
    </row>
    <row r="38" spans="1:9" s="46" customFormat="1" ht="14.4">
      <c r="A38" t="s">
        <v>77</v>
      </c>
      <c r="B38" s="125">
        <f>'Bilan-18'!C14+'Bilan-18'!C12</f>
        <v>3083673.56</v>
      </c>
      <c r="C38"/>
      <c r="D38"/>
      <c r="E38"/>
      <c r="F38"/>
      <c r="G38"/>
      <c r="H38"/>
      <c r="I38"/>
    </row>
    <row r="39" spans="1:9" s="46" customFormat="1" ht="14.4">
      <c r="A39" t="s">
        <v>78</v>
      </c>
      <c r="B39" s="125">
        <f>'Bilan-18'!C36+'Bilan-18'!C35+'Bilan-18'!C37</f>
        <v>1229776.8500000001</v>
      </c>
      <c r="C39"/>
      <c r="D39"/>
      <c r="E39"/>
      <c r="F39"/>
      <c r="G39"/>
      <c r="H39"/>
      <c r="I39"/>
    </row>
    <row r="40" spans="1:9" s="46" customFormat="1" ht="14.4">
      <c r="A40"/>
      <c r="B40"/>
      <c r="C40"/>
      <c r="D40"/>
      <c r="E40"/>
      <c r="F40"/>
      <c r="G40"/>
      <c r="H40"/>
      <c r="I40"/>
    </row>
    <row r="41" spans="1:9" s="46" customFormat="1" ht="14.4">
      <c r="A41" t="s">
        <v>38</v>
      </c>
      <c r="B41"/>
      <c r="C41"/>
      <c r="D41"/>
      <c r="E41">
        <f>(+B42/B43)*100</f>
        <v>72.628074537013958</v>
      </c>
      <c r="F41"/>
      <c r="G41"/>
      <c r="H41"/>
      <c r="I41"/>
    </row>
    <row r="42" spans="1:9" s="46" customFormat="1" ht="14.4">
      <c r="A42" t="s">
        <v>79</v>
      </c>
      <c r="B42">
        <f>'Bilan-18'!C32+'Bilan-18'!C26</f>
        <v>3263063.2743199989</v>
      </c>
      <c r="C42"/>
      <c r="D42"/>
      <c r="E42"/>
      <c r="F42"/>
      <c r="G42"/>
      <c r="H42"/>
      <c r="I42"/>
    </row>
    <row r="43" spans="1:9" s="46" customFormat="1" ht="14.4">
      <c r="A43" t="s">
        <v>80</v>
      </c>
      <c r="B43" s="125">
        <f>'Bilan-18'!C42</f>
        <v>4492840.1243199985</v>
      </c>
      <c r="C43"/>
      <c r="D43"/>
      <c r="E43"/>
      <c r="F43"/>
      <c r="G43"/>
      <c r="H43"/>
      <c r="I43"/>
    </row>
    <row r="44" spans="1:9" s="46" customFormat="1" ht="14.4">
      <c r="A44"/>
      <c r="B44"/>
      <c r="C44"/>
      <c r="D44"/>
      <c r="E44"/>
      <c r="F44"/>
      <c r="G44"/>
      <c r="H44"/>
      <c r="I44"/>
    </row>
    <row r="45" spans="1:9" s="46" customFormat="1" ht="14.4">
      <c r="A45" t="s">
        <v>40</v>
      </c>
      <c r="B45"/>
      <c r="C45"/>
      <c r="D45"/>
      <c r="E45">
        <f>(+B46/B47)*100</f>
        <v>31.885267923230238</v>
      </c>
      <c r="F45"/>
      <c r="G45"/>
      <c r="H45"/>
      <c r="I45"/>
    </row>
    <row r="46" spans="1:9" s="46" customFormat="1" ht="14.4">
      <c r="A46" t="s">
        <v>81</v>
      </c>
      <c r="B46">
        <f>'CR-18'!C9</f>
        <v>4133508.2999999993</v>
      </c>
      <c r="C46"/>
      <c r="D46"/>
      <c r="E46"/>
      <c r="F46"/>
      <c r="G46"/>
      <c r="H46"/>
      <c r="I46"/>
    </row>
    <row r="47" spans="1:9" s="46" customFormat="1" ht="14.4">
      <c r="A47" t="s">
        <v>82</v>
      </c>
      <c r="B47">
        <f>'CR-18'!C5</f>
        <v>12963693.17</v>
      </c>
      <c r="C47"/>
      <c r="D47"/>
      <c r="E47"/>
      <c r="F47"/>
      <c r="G47"/>
      <c r="H47"/>
      <c r="I47"/>
    </row>
    <row r="48" spans="1:9" s="46" customFormat="1" ht="14.4">
      <c r="A48"/>
      <c r="B48"/>
      <c r="C48"/>
      <c r="D48"/>
      <c r="E48"/>
      <c r="F48"/>
      <c r="G48"/>
      <c r="H48"/>
      <c r="I48"/>
    </row>
    <row r="49" spans="1:9" s="46" customFormat="1" ht="14.4">
      <c r="A49" t="s">
        <v>42</v>
      </c>
      <c r="B49"/>
      <c r="C49"/>
      <c r="D49"/>
      <c r="E49">
        <f>(+B50/B51)</f>
        <v>8.6524898830199639</v>
      </c>
      <c r="F49"/>
      <c r="G49"/>
      <c r="H49"/>
      <c r="I49"/>
    </row>
    <row r="50" spans="1:9" s="46" customFormat="1" ht="14.4">
      <c r="A50" t="s">
        <v>83</v>
      </c>
      <c r="B50" s="125">
        <f>'Bilan-18'!C14</f>
        <v>311578.39999999997</v>
      </c>
      <c r="C50"/>
      <c r="D50"/>
      <c r="E50"/>
      <c r="F50"/>
      <c r="G50"/>
      <c r="H50"/>
      <c r="I50"/>
    </row>
    <row r="51" spans="1:9" s="46" customFormat="1" ht="14.4">
      <c r="A51" t="s">
        <v>84</v>
      </c>
      <c r="B51">
        <f>+B47/360</f>
        <v>36010.258805555553</v>
      </c>
      <c r="C51"/>
      <c r="D51"/>
      <c r="E51"/>
      <c r="F51"/>
      <c r="G51"/>
      <c r="H51"/>
      <c r="I51"/>
    </row>
    <row r="52" spans="1:9" s="46" customFormat="1" ht="14.4">
      <c r="A52"/>
      <c r="B52"/>
      <c r="C52"/>
      <c r="D52"/>
      <c r="E52"/>
      <c r="F52"/>
      <c r="G52"/>
      <c r="H52"/>
      <c r="I52"/>
    </row>
    <row r="53" spans="1:9" s="46" customFormat="1" ht="14.4">
      <c r="A53" t="s">
        <v>45</v>
      </c>
      <c r="B53"/>
      <c r="C53"/>
      <c r="D53"/>
      <c r="E53">
        <f>(+B54/B55)</f>
        <v>4.9816280212993957</v>
      </c>
      <c r="F53"/>
      <c r="G53"/>
      <c r="H53"/>
      <c r="I53"/>
    </row>
    <row r="54" spans="1:9" s="46" customFormat="1" ht="14.4">
      <c r="A54" t="s">
        <v>85</v>
      </c>
      <c r="B54" s="125">
        <f>('Bilan-18'!C32+'Bilan-18'!C26)-('Bilan-18'!C12+'Bilan-18'!C14)</f>
        <v>179389.71431999886</v>
      </c>
      <c r="C54"/>
      <c r="D54"/>
      <c r="E54"/>
      <c r="F54"/>
      <c r="G54"/>
      <c r="H54"/>
      <c r="I54"/>
    </row>
    <row r="55" spans="1:9" s="46" customFormat="1" ht="14.4">
      <c r="A55" t="s">
        <v>84</v>
      </c>
      <c r="B55">
        <f>+B51</f>
        <v>36010.258805555553</v>
      </c>
      <c r="C55"/>
      <c r="D55"/>
      <c r="E55"/>
      <c r="F55"/>
      <c r="G55"/>
      <c r="H55"/>
      <c r="I55"/>
    </row>
    <row r="56" spans="1:9" s="46" customFormat="1">
      <c r="A56" s="126"/>
      <c r="B56" s="127"/>
      <c r="C56" s="127"/>
      <c r="D56" s="127"/>
      <c r="E56" s="127"/>
    </row>
  </sheetData>
  <mergeCells count="9">
    <mergeCell ref="J26:K27"/>
    <mergeCell ref="L26:V27"/>
    <mergeCell ref="A1:H1"/>
    <mergeCell ref="L7:Q8"/>
    <mergeCell ref="M9:N9"/>
    <mergeCell ref="J10:T13"/>
    <mergeCell ref="K14:M14"/>
    <mergeCell ref="N14:O14"/>
    <mergeCell ref="P14:T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96EA-9467-435D-B8AC-ABBB8B6A3651}">
  <dimension ref="A1:S27"/>
  <sheetViews>
    <sheetView workbookViewId="0">
      <selection activeCell="D4" sqref="D4"/>
    </sheetView>
  </sheetViews>
  <sheetFormatPr baseColWidth="10" defaultRowHeight="13.8"/>
  <cols>
    <col min="1" max="1" width="21.77734375" customWidth="1"/>
    <col min="3" max="3" width="6.77734375" customWidth="1"/>
    <col min="4" max="4" width="28.44140625" customWidth="1"/>
    <col min="6" max="6" width="6.21875" customWidth="1"/>
  </cols>
  <sheetData>
    <row r="1" spans="1:19">
      <c r="C1" s="45"/>
      <c r="I1" s="137" t="s">
        <v>10</v>
      </c>
      <c r="J1" s="138"/>
      <c r="K1" s="138"/>
      <c r="L1" s="138"/>
      <c r="M1" s="138"/>
      <c r="N1" s="138"/>
    </row>
    <row r="2" spans="1:19" ht="14.4">
      <c r="G2" s="46"/>
      <c r="H2" s="46"/>
      <c r="I2" s="138"/>
      <c r="J2" s="138"/>
      <c r="K2" s="138"/>
      <c r="L2" s="138"/>
      <c r="M2" s="138"/>
      <c r="N2" s="138"/>
      <c r="O2" s="46"/>
      <c r="P2" s="46"/>
      <c r="Q2" s="46"/>
      <c r="R2" s="46"/>
      <c r="S2" s="46"/>
    </row>
    <row r="3" spans="1:19" ht="14.4">
      <c r="G3" s="46"/>
      <c r="H3" s="46"/>
      <c r="O3" s="46"/>
      <c r="P3" s="46"/>
      <c r="Q3" s="46"/>
      <c r="R3" s="46"/>
      <c r="S3" s="46"/>
    </row>
    <row r="4" spans="1:19" ht="18.600000000000001" thickBot="1">
      <c r="A4" s="47" t="s">
        <v>146</v>
      </c>
      <c r="B4" s="47" t="s">
        <v>11</v>
      </c>
      <c r="C4" s="48">
        <v>0.5</v>
      </c>
      <c r="D4" s="49" t="s">
        <v>165</v>
      </c>
      <c r="E4" s="50" t="s">
        <v>11</v>
      </c>
      <c r="F4" s="48">
        <v>-1</v>
      </c>
      <c r="G4" s="51"/>
      <c r="H4" s="51"/>
      <c r="I4" s="52"/>
      <c r="J4" s="52"/>
      <c r="K4" s="152"/>
      <c r="L4" s="152"/>
      <c r="M4" s="52"/>
      <c r="N4" s="52"/>
      <c r="O4" s="51"/>
      <c r="P4" s="51"/>
      <c r="Q4" s="51"/>
      <c r="R4" s="46"/>
      <c r="S4" s="46"/>
    </row>
    <row r="5" spans="1:19" ht="15" thickTop="1">
      <c r="A5" s="53" t="s">
        <v>147</v>
      </c>
      <c r="B5" s="54">
        <v>1</v>
      </c>
      <c r="D5" s="55" t="s">
        <v>166</v>
      </c>
      <c r="E5" s="54">
        <v>1</v>
      </c>
      <c r="G5" s="153" t="s">
        <v>12</v>
      </c>
      <c r="H5" s="154"/>
      <c r="I5" s="154"/>
      <c r="J5" s="154"/>
      <c r="K5" s="154"/>
      <c r="L5" s="154"/>
      <c r="M5" s="154"/>
      <c r="N5" s="154"/>
      <c r="O5" s="154"/>
      <c r="P5" s="154"/>
      <c r="Q5" s="155"/>
      <c r="R5" s="46"/>
      <c r="S5" s="46"/>
    </row>
    <row r="6" spans="1:19" ht="14.4">
      <c r="A6" s="53" t="s">
        <v>148</v>
      </c>
      <c r="B6" s="54">
        <v>0.5</v>
      </c>
      <c r="D6" s="55" t="s">
        <v>167</v>
      </c>
      <c r="E6" s="54">
        <v>0.5</v>
      </c>
      <c r="G6" s="156"/>
      <c r="H6" s="157"/>
      <c r="I6" s="157"/>
      <c r="J6" s="157"/>
      <c r="K6" s="157"/>
      <c r="L6" s="157"/>
      <c r="M6" s="157"/>
      <c r="N6" s="157"/>
      <c r="O6" s="157"/>
      <c r="P6" s="157"/>
      <c r="Q6" s="158"/>
      <c r="R6" s="46"/>
      <c r="S6" s="46"/>
    </row>
    <row r="7" spans="1:19" ht="36" customHeight="1" thickBot="1">
      <c r="A7" s="56"/>
      <c r="B7" s="57"/>
      <c r="D7" s="55" t="s">
        <v>168</v>
      </c>
      <c r="E7" s="54">
        <v>0</v>
      </c>
      <c r="G7" s="159"/>
      <c r="H7" s="160"/>
      <c r="I7" s="160"/>
      <c r="J7" s="160"/>
      <c r="K7" s="160"/>
      <c r="L7" s="160"/>
      <c r="M7" s="160"/>
      <c r="N7" s="160"/>
      <c r="O7" s="160"/>
      <c r="P7" s="160"/>
      <c r="Q7" s="161"/>
      <c r="R7" s="46"/>
      <c r="S7" s="46"/>
    </row>
    <row r="8" spans="1:19" ht="54" customHeight="1" thickTop="1" thickBot="1">
      <c r="D8" s="55" t="s">
        <v>13</v>
      </c>
      <c r="E8" s="54">
        <v>0.25</v>
      </c>
      <c r="G8" s="58" t="s">
        <v>14</v>
      </c>
      <c r="H8" s="162" t="s">
        <v>15</v>
      </c>
      <c r="I8" s="163"/>
      <c r="J8" s="164"/>
      <c r="K8" s="165" t="s">
        <v>16</v>
      </c>
      <c r="L8" s="166"/>
      <c r="M8" s="167" t="s">
        <v>17</v>
      </c>
      <c r="N8" s="168"/>
      <c r="O8" s="168"/>
      <c r="P8" s="168"/>
      <c r="Q8" s="169"/>
      <c r="R8" s="46"/>
      <c r="S8" s="46"/>
    </row>
    <row r="9" spans="1:19" ht="30.6" customHeight="1" thickTop="1" thickBot="1">
      <c r="A9" s="47" t="s">
        <v>149</v>
      </c>
      <c r="B9" s="47" t="s">
        <v>11</v>
      </c>
      <c r="C9" s="59">
        <v>3.0000000000000001E-3</v>
      </c>
      <c r="D9" s="55" t="s">
        <v>169</v>
      </c>
      <c r="E9" s="54">
        <v>-1</v>
      </c>
      <c r="G9" s="60">
        <v>0</v>
      </c>
      <c r="H9" s="61">
        <v>1</v>
      </c>
      <c r="I9" s="61">
        <v>2</v>
      </c>
      <c r="J9" s="61">
        <v>3</v>
      </c>
      <c r="K9" s="62">
        <v>4</v>
      </c>
      <c r="L9" s="62">
        <v>5</v>
      </c>
      <c r="M9" s="63">
        <v>6</v>
      </c>
      <c r="N9" s="63">
        <v>7</v>
      </c>
      <c r="O9" s="63">
        <v>8</v>
      </c>
      <c r="P9" s="63">
        <v>9</v>
      </c>
      <c r="Q9" s="63">
        <v>10</v>
      </c>
      <c r="R9" s="46"/>
      <c r="S9" s="46"/>
    </row>
    <row r="10" spans="1:19" ht="24" thickTop="1">
      <c r="A10" s="53" t="s">
        <v>150</v>
      </c>
      <c r="B10" s="54">
        <v>1</v>
      </c>
      <c r="D10" s="55" t="s">
        <v>170</v>
      </c>
      <c r="E10" s="54">
        <v>0</v>
      </c>
      <c r="G10" s="64" t="s">
        <v>18</v>
      </c>
      <c r="H10" s="64" t="s">
        <v>18</v>
      </c>
      <c r="I10" s="64" t="s">
        <v>18</v>
      </c>
      <c r="J10" s="64" t="s">
        <v>18</v>
      </c>
      <c r="K10" s="64" t="s">
        <v>18</v>
      </c>
      <c r="L10" s="64" t="s">
        <v>18</v>
      </c>
      <c r="M10" s="64" t="s">
        <v>18</v>
      </c>
      <c r="N10" s="64" t="s">
        <v>18</v>
      </c>
      <c r="O10" s="64" t="s">
        <v>18</v>
      </c>
      <c r="P10" s="64" t="s">
        <v>18</v>
      </c>
      <c r="Q10" s="64" t="s">
        <v>18</v>
      </c>
      <c r="R10" s="46"/>
      <c r="S10" s="46"/>
    </row>
    <row r="11" spans="1:19" ht="15" customHeight="1" thickBot="1">
      <c r="A11" s="65" t="s">
        <v>151</v>
      </c>
      <c r="B11" s="54">
        <v>0.75</v>
      </c>
      <c r="D11" s="55" t="s">
        <v>171</v>
      </c>
      <c r="E11" s="54">
        <v>0</v>
      </c>
      <c r="G11" s="46"/>
      <c r="H11" s="46"/>
      <c r="I11" s="46"/>
      <c r="J11" s="46"/>
      <c r="K11" s="46"/>
      <c r="L11" s="46"/>
      <c r="M11" s="46"/>
      <c r="N11" s="46"/>
      <c r="O11" s="46"/>
      <c r="P11" s="46"/>
      <c r="Q11" s="46"/>
      <c r="R11" s="46"/>
      <c r="S11" s="46"/>
    </row>
    <row r="12" spans="1:19" ht="29.4" customHeight="1" thickTop="1" thickBot="1">
      <c r="A12" s="65" t="s">
        <v>152</v>
      </c>
      <c r="B12" s="54">
        <v>0.05</v>
      </c>
      <c r="G12" s="66" t="s">
        <v>19</v>
      </c>
      <c r="H12" s="67"/>
      <c r="I12" s="68">
        <f>+C4+C9+C18+F4+F13+F19</f>
        <v>3.0000000000000027E-3</v>
      </c>
      <c r="R12" s="46"/>
      <c r="S12" s="46"/>
    </row>
    <row r="13" spans="1:19" ht="15" customHeight="1" thickTop="1">
      <c r="A13" s="65" t="s">
        <v>153</v>
      </c>
      <c r="B13" s="54" t="s">
        <v>20</v>
      </c>
      <c r="D13" s="47" t="s">
        <v>172</v>
      </c>
      <c r="E13" s="69" t="s">
        <v>11</v>
      </c>
      <c r="F13" s="48">
        <v>0</v>
      </c>
      <c r="G13" s="46"/>
      <c r="H13" s="46"/>
      <c r="I13" s="46"/>
      <c r="J13" s="70">
        <f>ROUNDDOWN(I12,0)</f>
        <v>0</v>
      </c>
      <c r="K13" s="46"/>
      <c r="L13" s="46"/>
      <c r="M13" s="46"/>
      <c r="N13" s="46"/>
      <c r="O13" s="46"/>
      <c r="P13" s="46"/>
      <c r="Q13" s="46"/>
      <c r="R13" s="46"/>
      <c r="S13" s="46"/>
    </row>
    <row r="14" spans="1:19" ht="14.4">
      <c r="A14" s="53" t="s">
        <v>154</v>
      </c>
      <c r="B14" s="54">
        <v>5.0000000000000001E-3</v>
      </c>
      <c r="D14" s="55" t="s">
        <v>173</v>
      </c>
      <c r="E14" s="54">
        <v>0</v>
      </c>
    </row>
    <row r="15" spans="1:19" ht="14.4">
      <c r="A15" s="53" t="s">
        <v>155</v>
      </c>
      <c r="B15" s="54">
        <v>5.0000000000000001E-3</v>
      </c>
      <c r="D15" s="55" t="s">
        <v>174</v>
      </c>
      <c r="E15" s="54">
        <v>0.25</v>
      </c>
    </row>
    <row r="16" spans="1:19" ht="14.4">
      <c r="A16" s="53" t="s">
        <v>156</v>
      </c>
      <c r="B16" s="54">
        <v>3.0000000000000001E-3</v>
      </c>
      <c r="D16" s="55" t="s">
        <v>175</v>
      </c>
      <c r="E16" s="54">
        <v>0.5</v>
      </c>
    </row>
    <row r="17" spans="1:12" ht="14.4">
      <c r="D17" s="55" t="s">
        <v>176</v>
      </c>
      <c r="E17" s="54">
        <v>0.75</v>
      </c>
    </row>
    <row r="18" spans="1:12" ht="14.4">
      <c r="A18" s="47" t="s">
        <v>157</v>
      </c>
      <c r="B18" s="47" t="s">
        <v>11</v>
      </c>
      <c r="C18" s="48">
        <v>0</v>
      </c>
    </row>
    <row r="19" spans="1:12" ht="14.4">
      <c r="A19" s="71" t="s">
        <v>158</v>
      </c>
      <c r="B19" s="54">
        <v>0</v>
      </c>
      <c r="D19" s="49" t="s">
        <v>177</v>
      </c>
      <c r="E19" s="50" t="s">
        <v>11</v>
      </c>
      <c r="F19" s="48">
        <v>0.5</v>
      </c>
    </row>
    <row r="20" spans="1:12" ht="14.4">
      <c r="A20" s="72" t="s">
        <v>159</v>
      </c>
      <c r="B20" s="54">
        <v>0.1</v>
      </c>
      <c r="D20" s="55" t="s">
        <v>21</v>
      </c>
      <c r="E20" s="54">
        <v>0.75</v>
      </c>
      <c r="L20" s="73"/>
    </row>
    <row r="21" spans="1:12" ht="14.4">
      <c r="A21" s="72" t="s">
        <v>160</v>
      </c>
      <c r="B21" s="54">
        <v>0.2</v>
      </c>
      <c r="D21" s="55" t="s">
        <v>178</v>
      </c>
      <c r="E21" s="54">
        <v>0.5</v>
      </c>
    </row>
    <row r="22" spans="1:12" ht="14.4">
      <c r="A22" s="72" t="s">
        <v>161</v>
      </c>
      <c r="B22" s="54">
        <v>0.4</v>
      </c>
      <c r="D22" s="55" t="s">
        <v>22</v>
      </c>
      <c r="E22" s="54">
        <v>0.5</v>
      </c>
    </row>
    <row r="23" spans="1:12" ht="14.4">
      <c r="A23" s="72" t="s">
        <v>162</v>
      </c>
      <c r="B23" s="54">
        <v>0.6</v>
      </c>
    </row>
    <row r="24" spans="1:12" ht="14.4">
      <c r="A24" s="72" t="s">
        <v>163</v>
      </c>
      <c r="B24" s="54">
        <v>0.8</v>
      </c>
    </row>
    <row r="25" spans="1:12" ht="14.4">
      <c r="A25" s="74" t="s">
        <v>164</v>
      </c>
      <c r="B25" s="54">
        <v>1</v>
      </c>
    </row>
    <row r="26" spans="1:12">
      <c r="B26" s="75"/>
    </row>
    <row r="27" spans="1:12">
      <c r="B27" s="75"/>
    </row>
  </sheetData>
  <mergeCells count="6">
    <mergeCell ref="I1:N2"/>
    <mergeCell ref="K4:L4"/>
    <mergeCell ref="G5:Q7"/>
    <mergeCell ref="H8:J8"/>
    <mergeCell ref="K8:L8"/>
    <mergeCell ref="M8:Q8"/>
  </mergeCells>
  <conditionalFormatting sqref="G10">
    <cfRule type="expression" dxfId="6" priority="1">
      <formula>J13&lt;=0</formula>
    </cfRule>
  </conditionalFormatting>
  <conditionalFormatting sqref="H10">
    <cfRule type="expression" dxfId="5" priority="5">
      <formula>J13=1</formula>
    </cfRule>
  </conditionalFormatting>
  <conditionalFormatting sqref="I10">
    <cfRule type="expression" dxfId="4" priority="6">
      <formula>J13=2</formula>
    </cfRule>
    <cfRule type="expression" dxfId="3" priority="7">
      <formula>IF(I12&gt;1,IF(I12&lt;3,,),)</formula>
    </cfRule>
  </conditionalFormatting>
  <conditionalFormatting sqref="J10">
    <cfRule type="expression" dxfId="2" priority="3">
      <formula>J13=3</formula>
    </cfRule>
  </conditionalFormatting>
  <conditionalFormatting sqref="K10">
    <cfRule type="expression" dxfId="1" priority="2">
      <formula>J13=4</formula>
    </cfRule>
  </conditionalFormatting>
  <conditionalFormatting sqref="L10">
    <cfRule type="expression" dxfId="0" priority="4">
      <formula>J13=5</formula>
    </cfRule>
  </conditionalFormatting>
  <dataValidations count="6">
    <dataValidation type="list" allowBlank="1" showInputMessage="1" showErrorMessage="1" sqref="F13" xr:uid="{2BD2CFDA-36C8-41BD-9562-EB2FB359358D}">
      <formula1>$E$14:$E$17</formula1>
    </dataValidation>
    <dataValidation type="list" allowBlank="1" showInputMessage="1" showErrorMessage="1" sqref="F19" xr:uid="{0DC13C2C-E1F4-4C80-83FB-AB943F8C599C}">
      <formula1>$E$20:$E$22</formula1>
    </dataValidation>
    <dataValidation type="list" allowBlank="1" showInputMessage="1" showErrorMessage="1" sqref="C18" xr:uid="{A1C57083-9DC2-426E-A32B-6AC73482A9B7}">
      <formula1>$B$19:$B$25</formula1>
    </dataValidation>
    <dataValidation type="list" allowBlank="1" showInputMessage="1" showErrorMessage="1" sqref="C9" xr:uid="{9BDF9383-C3DE-4790-8D23-E007A6419682}">
      <formula1>$B$10:$B$16</formula1>
    </dataValidation>
    <dataValidation type="list" allowBlank="1" showInputMessage="1" showErrorMessage="1" sqref="F4" xr:uid="{4B6FD0F3-17B2-4B6C-BFE0-8C425E9A6682}">
      <formula1>$E$5:$E$11</formula1>
    </dataValidation>
    <dataValidation type="list" allowBlank="1" showInputMessage="1" showErrorMessage="1" sqref="C4" xr:uid="{9AD06E56-2F04-434A-844A-A5732457F152}">
      <formula1>$B$5:$B$6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Bilan-18</vt:lpstr>
      <vt:lpstr>CR-18</vt:lpstr>
      <vt:lpstr>Ratios</vt:lpstr>
      <vt:lpstr>SCORING AVEC BILAN</vt:lpstr>
      <vt:lpstr>SCORING SANS BILAN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Vignon</dc:creator>
  <cp:lastModifiedBy>ISSA PEROU</cp:lastModifiedBy>
  <dcterms:created xsi:type="dcterms:W3CDTF">2020-11-24T16:39:30Z</dcterms:created>
  <dcterms:modified xsi:type="dcterms:W3CDTF">2025-06-05T10:38:13Z</dcterms:modified>
</cp:coreProperties>
</file>