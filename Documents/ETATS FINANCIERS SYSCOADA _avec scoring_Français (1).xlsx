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24174\Documents\projets\documents projets\ACREMAC\"/>
    </mc:Choice>
  </mc:AlternateContent>
  <bookViews>
    <workbookView minimized="1" xWindow="1920" yWindow="0" windowWidth="19000" windowHeight="13680" tabRatio="674" firstSheet="2" activeTab="5"/>
  </bookViews>
  <sheets>
    <sheet name="ACTIF" sheetId="3" r:id="rId1"/>
    <sheet name="PASSIF" sheetId="2" r:id="rId2"/>
    <sheet name="COMPTE DE RESULTAT" sheetId="1" r:id="rId3"/>
    <sheet name="Ratios" sheetId="4" r:id="rId4"/>
    <sheet name="SCORING avec bilan saisi" sheetId="5" r:id="rId5"/>
    <sheet name="SCORING sans bilan" sheetId="6" r:id="rId6"/>
  </sheets>
  <externalReferences>
    <externalReference r:id="rId7"/>
  </externalReferences>
  <calcPr calcId="152511"/>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6" l="1"/>
  <c r="B34" i="5" l="1"/>
  <c r="K42" i="1" l="1"/>
  <c r="K36" i="1"/>
  <c r="K11" i="1"/>
  <c r="K25" i="1" s="1"/>
  <c r="K27" i="1" s="1"/>
  <c r="K7" i="1"/>
  <c r="F23" i="2"/>
  <c r="J14" i="3"/>
  <c r="I24" i="3"/>
  <c r="I28" i="3" s="1"/>
  <c r="I42" i="1"/>
  <c r="J42" i="1"/>
  <c r="I36" i="1"/>
  <c r="J36" i="1"/>
  <c r="J11" i="1"/>
  <c r="J25" i="1" s="1"/>
  <c r="J27" i="1" s="1"/>
  <c r="I11" i="1"/>
  <c r="J7" i="1"/>
  <c r="I7" i="1"/>
  <c r="H6" i="4" l="1"/>
  <c r="K30" i="1"/>
  <c r="K37" i="1" s="1"/>
  <c r="K45" i="1" s="1"/>
  <c r="I25" i="1"/>
  <c r="B47" i="5"/>
  <c r="B51" i="5" s="1"/>
  <c r="B55" i="5" s="1"/>
  <c r="G6" i="4"/>
  <c r="J30" i="1"/>
  <c r="I27" i="1" l="1"/>
  <c r="B46" i="5"/>
  <c r="E45" i="5" s="1"/>
  <c r="F9" i="5" s="1"/>
  <c r="G9" i="5" s="1"/>
  <c r="H9" i="5" s="1"/>
  <c r="D29" i="2"/>
  <c r="D26" i="2"/>
  <c r="B39" i="5" s="1"/>
  <c r="D18" i="2"/>
  <c r="D14" i="2"/>
  <c r="B35" i="5" l="1"/>
  <c r="E33" i="5" s="1"/>
  <c r="F6" i="5" s="1"/>
  <c r="G6" i="5" s="1"/>
  <c r="H6" i="5" s="1"/>
  <c r="F43" i="4"/>
  <c r="F6" i="4"/>
  <c r="I30" i="1"/>
  <c r="H148" i="4"/>
  <c r="J5" i="3" l="1"/>
  <c r="J6" i="3"/>
  <c r="J7" i="3"/>
  <c r="J8" i="3"/>
  <c r="J10" i="3"/>
  <c r="J11" i="3"/>
  <c r="J12" i="3"/>
  <c r="J13" i="3"/>
  <c r="J15" i="3"/>
  <c r="J16" i="3"/>
  <c r="J17" i="3"/>
  <c r="J19" i="3"/>
  <c r="J20" i="3"/>
  <c r="J22" i="3"/>
  <c r="J23" i="3"/>
  <c r="J26" i="3"/>
  <c r="J27" i="3"/>
  <c r="J29" i="3"/>
  <c r="J30" i="3"/>
  <c r="J31" i="3"/>
  <c r="J33" i="3"/>
  <c r="F94" i="4" l="1"/>
  <c r="D19" i="2"/>
  <c r="F151" i="4"/>
  <c r="F4" i="3"/>
  <c r="F9" i="3"/>
  <c r="F19" i="3"/>
  <c r="F18" i="3" s="1"/>
  <c r="F20" i="3"/>
  <c r="F24" i="3"/>
  <c r="F28" i="3" s="1"/>
  <c r="F32" i="3"/>
  <c r="F26" i="4" l="1"/>
  <c r="B42" i="5"/>
  <c r="G96" i="4"/>
  <c r="D31" i="2"/>
  <c r="B43" i="5" s="1"/>
  <c r="E41" i="5" s="1"/>
  <c r="F8" i="5" s="1"/>
  <c r="G8" i="5" s="1"/>
  <c r="H8" i="5" s="1"/>
  <c r="F21" i="3"/>
  <c r="F34" i="3" s="1"/>
  <c r="G32" i="3"/>
  <c r="I32" i="3"/>
  <c r="H32" i="3"/>
  <c r="G24" i="3"/>
  <c r="B38" i="5" s="1"/>
  <c r="E37" i="5" s="1"/>
  <c r="F7" i="5" s="1"/>
  <c r="G7" i="5" s="1"/>
  <c r="H7" i="5" s="1"/>
  <c r="I18" i="3"/>
  <c r="G18" i="3"/>
  <c r="H9" i="3"/>
  <c r="G9" i="3"/>
  <c r="I4" i="3"/>
  <c r="H4" i="3"/>
  <c r="G4" i="3"/>
  <c r="F29" i="2"/>
  <c r="E29" i="2"/>
  <c r="F26" i="2"/>
  <c r="E26" i="2"/>
  <c r="G94" i="4" s="1"/>
  <c r="F18" i="2"/>
  <c r="E18" i="2"/>
  <c r="F14" i="2"/>
  <c r="E14" i="2"/>
  <c r="J4" i="3" l="1"/>
  <c r="G43" i="4"/>
  <c r="J37" i="1"/>
  <c r="J45" i="1" s="1"/>
  <c r="H151" i="4"/>
  <c r="H68" i="4"/>
  <c r="H69" i="4"/>
  <c r="H94" i="4"/>
  <c r="G45" i="4"/>
  <c r="E19" i="2"/>
  <c r="E31" i="2" s="1"/>
  <c r="G25" i="4" s="1"/>
  <c r="G151" i="4"/>
  <c r="G69" i="4"/>
  <c r="F69" i="4"/>
  <c r="J32" i="3"/>
  <c r="J9" i="3"/>
  <c r="G28" i="3"/>
  <c r="B50" i="5" s="1"/>
  <c r="E49" i="5" s="1"/>
  <c r="F10" i="5" s="1"/>
  <c r="G10" i="5" s="1"/>
  <c r="H10" i="5" s="1"/>
  <c r="F68" i="4"/>
  <c r="H24" i="3"/>
  <c r="J24" i="3" s="1"/>
  <c r="J25" i="3"/>
  <c r="F19" i="2"/>
  <c r="H26" i="4" s="1"/>
  <c r="G21" i="3"/>
  <c r="B54" i="5" s="1"/>
  <c r="E53" i="5" s="1"/>
  <c r="F11" i="5" s="1"/>
  <c r="G11" i="5" s="1"/>
  <c r="H11" i="5" s="1"/>
  <c r="I9" i="3"/>
  <c r="I21" i="3" s="1"/>
  <c r="H124" i="4" s="1"/>
  <c r="H18" i="3"/>
  <c r="H21" i="3" s="1"/>
  <c r="H18" i="5" l="1"/>
  <c r="M18" i="5" s="1"/>
  <c r="H28" i="3"/>
  <c r="G148" i="4" s="1"/>
  <c r="G26" i="4"/>
  <c r="F149" i="4"/>
  <c r="F148" i="4"/>
  <c r="H125" i="4"/>
  <c r="G126" i="4"/>
  <c r="H152" i="4"/>
  <c r="H149" i="4"/>
  <c r="H67" i="4"/>
  <c r="H4" i="4"/>
  <c r="F31" i="2"/>
  <c r="H25" i="4" s="1"/>
  <c r="H3" i="4"/>
  <c r="J18" i="3"/>
  <c r="G125" i="4"/>
  <c r="G124" i="4"/>
  <c r="G97" i="4"/>
  <c r="G3" i="4"/>
  <c r="G34" i="3"/>
  <c r="F125" i="4"/>
  <c r="F124" i="4"/>
  <c r="F3" i="4"/>
  <c r="J21" i="3"/>
  <c r="F4" i="4"/>
  <c r="F67" i="4"/>
  <c r="J28" i="3"/>
  <c r="F152" i="4"/>
  <c r="G95" i="4"/>
  <c r="G93" i="4"/>
  <c r="G68" i="4"/>
  <c r="G152" i="4"/>
  <c r="G149" i="4"/>
  <c r="G67" i="4"/>
  <c r="G4" i="4"/>
  <c r="H34" i="3"/>
  <c r="I34" i="3"/>
  <c r="F123" i="4" l="1"/>
  <c r="F25" i="4"/>
  <c r="G44" i="4"/>
  <c r="G42" i="4"/>
  <c r="F5" i="4"/>
  <c r="H5" i="4"/>
  <c r="H150" i="4"/>
  <c r="H123" i="4"/>
  <c r="G5" i="4"/>
  <c r="F150" i="4"/>
  <c r="J34" i="3"/>
  <c r="G123" i="4"/>
  <c r="G150" i="4"/>
  <c r="H96" i="4" l="1"/>
  <c r="H97" i="4"/>
  <c r="H95" i="4"/>
  <c r="H93" i="4"/>
  <c r="F96" i="4"/>
  <c r="F95" i="4"/>
  <c r="F93" i="4"/>
  <c r="F97" i="4"/>
  <c r="H45" i="4" l="1"/>
  <c r="H43" i="4"/>
  <c r="I37" i="1"/>
  <c r="I45" i="1" s="1"/>
  <c r="F45" i="4"/>
  <c r="H126" i="4" l="1"/>
  <c r="F126" i="4"/>
  <c r="H42" i="4" l="1"/>
  <c r="H44" i="4"/>
  <c r="F42" i="4"/>
  <c r="F44" i="4"/>
</calcChain>
</file>

<file path=xl/sharedStrings.xml><?xml version="1.0" encoding="utf-8"?>
<sst xmlns="http://schemas.openxmlformats.org/spreadsheetml/2006/main" count="436" uniqueCount="341">
  <si>
    <t>Réf</t>
  </si>
  <si>
    <t>NOTE</t>
  </si>
  <si>
    <t>EXERCICE</t>
  </si>
  <si>
    <t>NET</t>
  </si>
  <si>
    <t>TA</t>
  </si>
  <si>
    <t xml:space="preserve">  +</t>
  </si>
  <si>
    <t>RA</t>
  </si>
  <si>
    <t xml:space="preserve">   -</t>
  </si>
  <si>
    <t>RB</t>
  </si>
  <si>
    <t xml:space="preserve">  -/+</t>
  </si>
  <si>
    <t>XA</t>
  </si>
  <si>
    <t>TB</t>
  </si>
  <si>
    <t>TC</t>
  </si>
  <si>
    <t>TD</t>
  </si>
  <si>
    <t>XB</t>
  </si>
  <si>
    <t>TE</t>
  </si>
  <si>
    <t>TF</t>
  </si>
  <si>
    <t>TG</t>
  </si>
  <si>
    <t>TH</t>
  </si>
  <si>
    <t>TI</t>
  </si>
  <si>
    <t>RC</t>
  </si>
  <si>
    <t>RD</t>
  </si>
  <si>
    <t>RE</t>
  </si>
  <si>
    <t>RF</t>
  </si>
  <si>
    <t>RG</t>
  </si>
  <si>
    <t>Transport</t>
  </si>
  <si>
    <t>RH</t>
  </si>
  <si>
    <t>RI</t>
  </si>
  <si>
    <t>RJ</t>
  </si>
  <si>
    <t>XC</t>
  </si>
  <si>
    <t>RK</t>
  </si>
  <si>
    <t>XD</t>
  </si>
  <si>
    <t>TJ</t>
  </si>
  <si>
    <t>RL</t>
  </si>
  <si>
    <t>3C&amp;28</t>
  </si>
  <si>
    <t>XE</t>
  </si>
  <si>
    <t>TK</t>
  </si>
  <si>
    <t>TL</t>
  </si>
  <si>
    <t>TM</t>
  </si>
  <si>
    <t>RM</t>
  </si>
  <si>
    <t>RN</t>
  </si>
  <si>
    <t>XF</t>
  </si>
  <si>
    <t>XG</t>
  </si>
  <si>
    <t>TN</t>
  </si>
  <si>
    <t>3D</t>
  </si>
  <si>
    <t>TO</t>
  </si>
  <si>
    <t>RO</t>
  </si>
  <si>
    <t>RP</t>
  </si>
  <si>
    <t>XH</t>
  </si>
  <si>
    <t>RQ</t>
  </si>
  <si>
    <t>RS</t>
  </si>
  <si>
    <t>XI</t>
  </si>
  <si>
    <t>Réf.</t>
  </si>
  <si>
    <t>Note</t>
  </si>
  <si>
    <t>CA</t>
  </si>
  <si>
    <t>Capital</t>
  </si>
  <si>
    <t>CB</t>
  </si>
  <si>
    <t>CD</t>
  </si>
  <si>
    <t>CE</t>
  </si>
  <si>
    <t>3e</t>
  </si>
  <si>
    <t>CF</t>
  </si>
  <si>
    <t>CG</t>
  </si>
  <si>
    <t>CH</t>
  </si>
  <si>
    <t>CJ</t>
  </si>
  <si>
    <t>CL</t>
  </si>
  <si>
    <t>CM</t>
  </si>
  <si>
    <t>CP</t>
  </si>
  <si>
    <t>DA</t>
  </si>
  <si>
    <t>DB</t>
  </si>
  <si>
    <t>DC</t>
  </si>
  <si>
    <t>DD</t>
  </si>
  <si>
    <t>DF</t>
  </si>
  <si>
    <t>DH</t>
  </si>
  <si>
    <t>DI</t>
  </si>
  <si>
    <t>DJ</t>
  </si>
  <si>
    <t>DK</t>
  </si>
  <si>
    <t>DM</t>
  </si>
  <si>
    <t>DN</t>
  </si>
  <si>
    <t>DP</t>
  </si>
  <si>
    <t>DQ</t>
  </si>
  <si>
    <t>DR</t>
  </si>
  <si>
    <t>DT</t>
  </si>
  <si>
    <t>DV</t>
  </si>
  <si>
    <t>DZ</t>
  </si>
  <si>
    <t xml:space="preserve">EXERCICE </t>
  </si>
  <si>
    <t>BRUT</t>
  </si>
  <si>
    <t>Clients</t>
  </si>
  <si>
    <t>N-1</t>
  </si>
  <si>
    <t>N</t>
  </si>
  <si>
    <t>N-2</t>
  </si>
  <si>
    <t>Ratios</t>
  </si>
  <si>
    <t>VARIATION</t>
  </si>
  <si>
    <t>N/N-1</t>
  </si>
  <si>
    <t>EFFICIENCY RATIOS</t>
  </si>
  <si>
    <t>LEVERAGE RATIOS</t>
  </si>
  <si>
    <t>SOLVENCY RATIOS</t>
  </si>
  <si>
    <t>Liquidity ratios</t>
  </si>
  <si>
    <t>+</t>
  </si>
  <si>
    <t xml:space="preserve"> -</t>
  </si>
  <si>
    <t>-/+</t>
  </si>
  <si>
    <t>Profitability ratios</t>
  </si>
  <si>
    <r>
      <rPr>
        <b/>
        <sz val="10"/>
        <rFont val="Arial"/>
        <family val="2"/>
      </rPr>
      <t>WC (Working capital)</t>
    </r>
    <r>
      <rPr>
        <sz val="10"/>
        <rFont val="Arial"/>
        <family val="2"/>
      </rPr>
      <t xml:space="preserve"> = </t>
    </r>
    <r>
      <rPr>
        <i/>
        <sz val="7"/>
        <rFont val="Arial"/>
        <family val="2"/>
      </rPr>
      <t xml:space="preserve">K perm - Actif net Immob </t>
    </r>
  </si>
  <si>
    <r>
      <rPr>
        <b/>
        <sz val="10"/>
        <rFont val="Arial"/>
        <family val="2"/>
      </rPr>
      <t>NWC (Need for working capital)</t>
    </r>
    <r>
      <rPr>
        <sz val="10"/>
        <rFont val="Arial"/>
        <family val="2"/>
      </rPr>
      <t xml:space="preserve"> = </t>
    </r>
    <r>
      <rPr>
        <i/>
        <sz val="7"/>
        <rFont val="Arial"/>
        <family val="2"/>
      </rPr>
      <t>Actif circ - Passif circ</t>
    </r>
  </si>
  <si>
    <r>
      <rPr>
        <b/>
        <sz val="10"/>
        <rFont val="Arial"/>
        <family val="2"/>
      </rPr>
      <t>NCP (Net Cash Position)</t>
    </r>
    <r>
      <rPr>
        <sz val="10"/>
        <rFont val="Arial"/>
        <family val="2"/>
      </rPr>
      <t xml:space="preserve"> = </t>
    </r>
    <r>
      <rPr>
        <i/>
        <sz val="7"/>
        <rFont val="Arial"/>
        <family val="2"/>
      </rPr>
      <t>FR - BFR</t>
    </r>
  </si>
  <si>
    <r>
      <t>CAF (Self-financing capacity) =</t>
    </r>
    <r>
      <rPr>
        <sz val="7"/>
        <rFont val="Arial"/>
        <family val="2"/>
      </rPr>
      <t xml:space="preserve"> EBITDA + 
Cashable products - Non cash charge</t>
    </r>
  </si>
  <si>
    <r>
      <rPr>
        <b/>
        <sz val="10"/>
        <rFont val="Arial"/>
        <family val="2"/>
      </rPr>
      <t>Solvency</t>
    </r>
    <r>
      <rPr>
        <sz val="10"/>
        <rFont val="Arial"/>
        <family val="2"/>
      </rPr>
      <t xml:space="preserve"> =  </t>
    </r>
    <r>
      <rPr>
        <i/>
        <sz val="7"/>
        <rFont val="Arial"/>
        <family val="2"/>
      </rPr>
      <t>Shareholders' equity/T total asset (%)</t>
    </r>
  </si>
  <si>
    <r>
      <rPr>
        <b/>
        <sz val="10"/>
        <rFont val="Arial"/>
        <family val="2"/>
      </rPr>
      <t xml:space="preserve">Financial autonomy </t>
    </r>
    <r>
      <rPr>
        <sz val="10"/>
        <rFont val="Arial"/>
        <family val="2"/>
      </rPr>
      <t xml:space="preserve">=  </t>
    </r>
    <r>
      <rPr>
        <i/>
        <sz val="7"/>
        <rFont val="Arial"/>
        <family val="2"/>
      </rPr>
      <t>Shareholders' equity / permanent capital (%)</t>
    </r>
  </si>
  <si>
    <r>
      <t xml:space="preserve">Return on equity (ROE): </t>
    </r>
    <r>
      <rPr>
        <i/>
        <sz val="7"/>
        <color theme="1"/>
        <rFont val="Calibri"/>
        <family val="2"/>
        <scheme val="minor"/>
      </rPr>
      <t>Net profit / Shareholders' equity</t>
    </r>
  </si>
  <si>
    <r>
      <t xml:space="preserve">Return on Activity (ROA): </t>
    </r>
    <r>
      <rPr>
        <i/>
        <sz val="7"/>
        <color theme="1"/>
        <rFont val="Calibri"/>
        <family val="2"/>
        <scheme val="minor"/>
      </rPr>
      <t>Self-financing capacity / turnover</t>
    </r>
  </si>
  <si>
    <r>
      <t>Net Margin Rate (NMR):</t>
    </r>
    <r>
      <rPr>
        <i/>
        <sz val="7"/>
        <color theme="1"/>
        <rFont val="Calibri"/>
        <family val="2"/>
        <scheme val="minor"/>
      </rPr>
      <t xml:space="preserve"> Net profit/ Turnover</t>
    </r>
  </si>
  <si>
    <r>
      <t xml:space="preserve">Gross margin rate: </t>
    </r>
    <r>
      <rPr>
        <i/>
        <sz val="7"/>
        <color theme="1"/>
        <rFont val="Calibri"/>
        <family val="2"/>
        <scheme val="minor"/>
      </rPr>
      <t>EBITDA / Turnove</t>
    </r>
    <r>
      <rPr>
        <sz val="10"/>
        <color theme="1"/>
        <rFont val="Calibri"/>
        <family val="2"/>
        <scheme val="minor"/>
      </rPr>
      <t xml:space="preserve">r </t>
    </r>
  </si>
  <si>
    <r>
      <t xml:space="preserve">General liquidity : </t>
    </r>
    <r>
      <rPr>
        <i/>
        <sz val="7"/>
        <color theme="1"/>
        <rFont val="Calibri"/>
        <family val="2"/>
        <scheme val="minor"/>
      </rPr>
      <t>Current assets / Current liabilities</t>
    </r>
  </si>
  <si>
    <r>
      <t xml:space="preserve">Restricted liquidity : </t>
    </r>
    <r>
      <rPr>
        <i/>
        <sz val="7"/>
        <color theme="1"/>
        <rFont val="Calibri"/>
        <family val="2"/>
        <scheme val="minor"/>
      </rPr>
      <t>(Receivables + cash and cash equivalents) / short-term debts</t>
    </r>
  </si>
  <si>
    <r>
      <t xml:space="preserve">Immediate liquidity : </t>
    </r>
    <r>
      <rPr>
        <i/>
        <sz val="7"/>
        <color theme="1"/>
        <rFont val="Calibri"/>
        <family val="2"/>
        <scheme val="minor"/>
      </rPr>
      <t>Cash/Short-term debt</t>
    </r>
  </si>
  <si>
    <r>
      <t>Average Collection Days :</t>
    </r>
    <r>
      <rPr>
        <i/>
        <sz val="7"/>
        <color theme="1"/>
        <rFont val="Calibri"/>
        <family val="2"/>
        <scheme val="minor"/>
      </rPr>
      <t>(Sundry Debtors/Operating Income * 365 Days)</t>
    </r>
  </si>
  <si>
    <r>
      <t xml:space="preserve"> Average Payment Days : </t>
    </r>
    <r>
      <rPr>
        <i/>
        <sz val="7"/>
        <color theme="1"/>
        <rFont val="Calibri"/>
        <family val="2"/>
        <scheme val="minor"/>
      </rPr>
      <t>(Sundry Creditors/Purchases * 365)</t>
    </r>
  </si>
  <si>
    <r>
      <t xml:space="preserve">Account Receivables Turnover: </t>
    </r>
    <r>
      <rPr>
        <i/>
        <sz val="7"/>
        <color theme="1"/>
        <rFont val="Calibri"/>
        <family val="2"/>
        <scheme val="minor"/>
      </rPr>
      <t>(Operating Income/Sundry Debtors)</t>
    </r>
  </si>
  <si>
    <r>
      <t>Inventory Turnover:</t>
    </r>
    <r>
      <rPr>
        <i/>
        <sz val="7"/>
        <color theme="1"/>
        <rFont val="Calibri"/>
        <family val="2"/>
        <scheme val="minor"/>
      </rPr>
      <t xml:space="preserve"> (Operating Income / Inventories)</t>
    </r>
  </si>
  <si>
    <r>
      <t xml:space="preserve">Asset Turnover: </t>
    </r>
    <r>
      <rPr>
        <i/>
        <sz val="7"/>
        <color theme="1"/>
        <rFont val="Calibri"/>
        <family val="2"/>
        <scheme val="minor"/>
      </rPr>
      <t>(Operating Income / Net Fixed Assets)</t>
    </r>
  </si>
  <si>
    <r>
      <t xml:space="preserve">Debt ratio: </t>
    </r>
    <r>
      <rPr>
        <i/>
        <sz val="7"/>
        <color theme="1"/>
        <rFont val="Calibri"/>
        <family val="2"/>
        <scheme val="minor"/>
      </rPr>
      <t>((Borrowing + Current liab.)/Total assets)</t>
    </r>
  </si>
  <si>
    <r>
      <t xml:space="preserve">Debt Equity Ratio: </t>
    </r>
    <r>
      <rPr>
        <i/>
        <sz val="7"/>
        <color theme="1"/>
        <rFont val="Calibri"/>
        <family val="2"/>
        <scheme val="minor"/>
      </rPr>
      <t>(Borrowings / Net Worth)</t>
    </r>
  </si>
  <si>
    <r>
      <t xml:space="preserve">Current Liabilities To Net Worth: </t>
    </r>
    <r>
      <rPr>
        <i/>
        <sz val="7"/>
        <color theme="1"/>
        <rFont val="Calibri"/>
        <family val="2"/>
        <scheme val="minor"/>
      </rPr>
      <t>(Current Liabilities / Net Worth)</t>
    </r>
  </si>
  <si>
    <r>
      <t xml:space="preserve">Interest Coverage Ratio </t>
    </r>
    <r>
      <rPr>
        <i/>
        <sz val="7"/>
        <color theme="1"/>
        <rFont val="Calibri"/>
        <family val="2"/>
        <scheme val="minor"/>
      </rPr>
      <t>(PBIT / Financial Charges)</t>
    </r>
  </si>
  <si>
    <r>
      <t xml:space="preserve">Current Ratio: </t>
    </r>
    <r>
      <rPr>
        <i/>
        <sz val="7"/>
        <color theme="1"/>
        <rFont val="Calibri"/>
        <family val="2"/>
        <scheme val="minor"/>
      </rPr>
      <t>(Current Assets / Current Liabilities)</t>
    </r>
  </si>
  <si>
    <r>
      <t xml:space="preserve">Quick Ratio: </t>
    </r>
    <r>
      <rPr>
        <i/>
        <sz val="7"/>
        <color theme="1"/>
        <rFont val="Calibri"/>
        <family val="2"/>
        <scheme val="minor"/>
      </rPr>
      <t xml:space="preserve">((Current Assets - Inventories) / Current Liabilities) </t>
    </r>
  </si>
  <si>
    <r>
      <t xml:space="preserve">G-Score Ratio Financial: </t>
    </r>
    <r>
      <rPr>
        <i/>
        <sz val="7"/>
        <color theme="1"/>
        <rFont val="Calibri"/>
        <family val="2"/>
        <scheme val="minor"/>
      </rPr>
      <t>(Net Worth / Total Assets)</t>
    </r>
  </si>
  <si>
    <r>
      <t xml:space="preserve">G-Score Ratio Debt:  </t>
    </r>
    <r>
      <rPr>
        <i/>
        <sz val="7"/>
        <color theme="1"/>
        <rFont val="Calibri"/>
        <family val="2"/>
        <scheme val="minor"/>
      </rPr>
      <t>(Debts / Equity Capital)</t>
    </r>
  </si>
  <si>
    <r>
      <t>G-Score Ratio Liquidity:</t>
    </r>
    <r>
      <rPr>
        <i/>
        <sz val="7"/>
        <color theme="1"/>
        <rFont val="Calibri"/>
        <family val="2"/>
        <scheme val="minor"/>
      </rPr>
      <t>(Total current assets / Total current liabilities)</t>
    </r>
  </si>
  <si>
    <t>BORNES</t>
  </si>
  <si>
    <t>Coeff. (1)</t>
  </si>
  <si>
    <t>Ratio</t>
  </si>
  <si>
    <t>Contribution</t>
  </si>
  <si>
    <t>(1 X 2)</t>
  </si>
  <si>
    <t>-</t>
  </si>
  <si>
    <t>[0*;100]</t>
  </si>
  <si>
    <t>[0;200]</t>
  </si>
  <si>
    <t>[-25;100]</t>
  </si>
  <si>
    <t>[0;100]</t>
  </si>
  <si>
    <t>[-100;100]</t>
  </si>
  <si>
    <t>[-100;150]</t>
  </si>
  <si>
    <t>Conclusions</t>
  </si>
  <si>
    <t>S&lt;-4,01</t>
  </si>
  <si>
    <t>&gt;12,7</t>
  </si>
  <si>
    <t>-4,01&lt;S&lt;-2,57</t>
  </si>
  <si>
    <t>6,00</t>
  </si>
  <si>
    <t>-2,57&lt;S&lt;-1,00</t>
  </si>
  <si>
    <t>-1,00&lt;S&lt;0,28</t>
  </si>
  <si>
    <t>0,28&lt;S&lt;1,26</t>
  </si>
  <si>
    <t>1,26&lt;S&lt;2,10</t>
  </si>
  <si>
    <t>2,10&lt;S&lt;2,86</t>
  </si>
  <si>
    <t>2,86&lt;S&lt;3,68</t>
  </si>
  <si>
    <t>3,68&lt;S&lt;4,83</t>
  </si>
  <si>
    <t>5,83&lt;S</t>
  </si>
  <si>
    <t>&lt;0,42</t>
  </si>
  <si>
    <t>FFI</t>
  </si>
  <si>
    <t>EBE</t>
  </si>
  <si>
    <t>Cré+disp net</t>
  </si>
  <si>
    <t>VA</t>
  </si>
  <si>
    <t>CA (j)</t>
  </si>
  <si>
    <t>FDR</t>
  </si>
  <si>
    <t>Very High Risk</t>
  </si>
  <si>
    <t>Medium High Risk</t>
  </si>
  <si>
    <t>Low Risk</t>
  </si>
  <si>
    <t>Insolvency/preliminary/debt regulation proceedings</t>
  </si>
  <si>
    <t>Constant</t>
  </si>
  <si>
    <t>R1 = Financial expenses / EBITDA</t>
  </si>
  <si>
    <t>R3 = Permanent capital / Liabilities</t>
  </si>
  <si>
    <t>R4 = VA / AC</t>
  </si>
  <si>
    <t>R5 = Cash / Sales (j)</t>
  </si>
  <si>
    <t>R6 = Working capital / CA (j)</t>
  </si>
  <si>
    <t>limited (2)</t>
  </si>
  <si>
    <t>* Negative values are brought back to the upper limit</t>
  </si>
  <si>
    <t>Value of SCORE</t>
  </si>
  <si>
    <t>Score Classes</t>
  </si>
  <si>
    <t>Probability of failure(%)</t>
  </si>
  <si>
    <t>High risk (failure rate &gt;10%)</t>
  </si>
  <si>
    <t>Normal risk (default rate = 3%)</t>
  </si>
  <si>
    <t>Low risk (failure rate &lt; 1%)</t>
  </si>
  <si>
    <t>R2 = (Receivables + Cash) / Liabilities CT</t>
  </si>
  <si>
    <t>CT debts</t>
  </si>
  <si>
    <t>Permanent course</t>
  </si>
  <si>
    <t>Liabilities</t>
  </si>
  <si>
    <t>Treasury</t>
  </si>
  <si>
    <t>Failure Score</t>
  </si>
  <si>
    <t>AUTOMATIC SCORE N</t>
  </si>
  <si>
    <t>AUTOMATIC SCORE N-1</t>
  </si>
  <si>
    <t>AUTOMATIC SCORE N-2</t>
  </si>
  <si>
    <t>MANUAL SCORE N-1</t>
  </si>
  <si>
    <t>MANUAL SCORE N-2</t>
  </si>
  <si>
    <t xml:space="preserve"> </t>
  </si>
  <si>
    <t>MANUAL SCORE  N</t>
  </si>
  <si>
    <t>Comment:</t>
  </si>
  <si>
    <t>AUTOMATIC SCORE</t>
  </si>
  <si>
    <t>Grille</t>
  </si>
  <si>
    <t xml:space="preserve">S1:The premises </t>
  </si>
  <si>
    <t>Owner</t>
  </si>
  <si>
    <t>Tenant</t>
  </si>
  <si>
    <t xml:space="preserve">S2: Legal form </t>
  </si>
  <si>
    <t>anonimous company</t>
  </si>
  <si>
    <t>Individual company(EI)</t>
  </si>
  <si>
    <t>Branch</t>
  </si>
  <si>
    <t>Government body</t>
  </si>
  <si>
    <t>Other legal form</t>
  </si>
  <si>
    <t>Limited liability company(SARL</t>
  </si>
  <si>
    <t>One Person Limited liability company(SARL U)</t>
  </si>
  <si>
    <t xml:space="preserve">S3: Age of the company </t>
  </si>
  <si>
    <t>New company</t>
  </si>
  <si>
    <t>≤ 2 years</t>
  </si>
  <si>
    <t>2-4 years old</t>
  </si>
  <si>
    <t>5-6 years old</t>
  </si>
  <si>
    <t>7-8 years old</t>
  </si>
  <si>
    <t>9-10 years old</t>
  </si>
  <si>
    <t xml:space="preserve">             &lt; 10 years</t>
  </si>
  <si>
    <t>In advance</t>
  </si>
  <si>
    <t>In time</t>
  </si>
  <si>
    <t>Overdue</t>
  </si>
  <si>
    <t>Normal</t>
  </si>
  <si>
    <t>Bad payer</t>
  </si>
  <si>
    <t>Unknown</t>
  </si>
  <si>
    <t>Isolated complaint</t>
  </si>
  <si>
    <t>S4: Payment behaviour</t>
  </si>
  <si>
    <t>0;50</t>
  </si>
  <si>
    <t>S5 : Commercial opinion</t>
  </si>
  <si>
    <t>Negative</t>
  </si>
  <si>
    <t>Medium</t>
  </si>
  <si>
    <t>Good</t>
  </si>
  <si>
    <t>Very Good</t>
  </si>
  <si>
    <t>S6 : Code Nace</t>
  </si>
  <si>
    <t>Manifacture</t>
  </si>
  <si>
    <t>Wholesale</t>
  </si>
  <si>
    <t>Services</t>
  </si>
  <si>
    <t>↑</t>
  </si>
  <si>
    <t>This score is generated automatically through bucrep through the sumilations of the following items: The premises, Age of the company, Payment behaviour, Commercial opinion, Code Nace. The elements of the score grid have been weighted according to their degree of importance in the calculation of the risk. Credit Rating: 10 	Excellent risk, 9 	Very low risk, 8 	Low risk, 7 	Moderate risk, 6 	Acceptable risk, 5 	Medium high risk, 4 	Significant risk, 3 	High risk , 2 	Very high risk of insolvency, 1 	Extremely high risk of insolvency, 0 	Insolvency/preliminary/debt regulation proceedings</t>
  </si>
  <si>
    <t>The crédit rating is expressed as an rating score with values of 0(Insolvency/preliminary/debt regulation proceedings) to 10 (excellent risk). The rating score denominates the probability of default for the company within 12 months from the date the rating score was set.  Credit Rating: 10 	Excellent risk, 9 	Very low risk, 8 	Low risk, 7 	Moderate risk, 6 	Acceptable risk, 5 	Medium high risk, 4 	Significant risk, 3 	High risk , 2 	Very high risk of insolvency, 1 	Extremely high risk of insolvency, 0 	Insolvency/preliminary/debt regulation proceedings</t>
  </si>
  <si>
    <t>Key Score Factors :
 - R1 = Financial expenses / EBITDA
 - R2 = (Receivable+Disposable)/Creditors CT
 - R3 = Permanent capital / Liabilities
 - R4 = Added value / turnover
 - R5 = Cash / Sales (j)
 - R6 = Working capital / CA (j)
Business credit scores range from a minimum of 1 to a maximum of 10.   Higher scores indicate lower risk. This score predicts the likelihood of serious credit defaults over the next 12 months. This score uses transaction and collection information, public deposits, and other variables to predict future risk.</t>
  </si>
  <si>
    <t>ACREMAC's Financial Stability Risk Assessment
The objective of financial stability risk rating is to predict the probability of default and/or bankruptcy over the next 12 months.
ACREMAC's Financial Stress Rating is calculated by a statistically derived algorithm designed to determine risk based on several factors including: transaction and collection information, public deposits and other variables to predict future risk.</t>
  </si>
  <si>
    <t>ACTIF</t>
  </si>
  <si>
    <t>IMMOBILISATIONS INCORPORELLES</t>
  </si>
  <si>
    <t>Frais de développement et de prospection</t>
  </si>
  <si>
    <t>Brevets, licences, logiciels et droits similaires</t>
  </si>
  <si>
    <t>Droit de la propriété commerciale et des baux</t>
  </si>
  <si>
    <t>Autres immobilisations incorporelles</t>
  </si>
  <si>
    <t>IMMOBILISATIONS CORPORELLES</t>
  </si>
  <si>
    <t>Terrains (1)</t>
  </si>
  <si>
    <t>_x000D_
dont investissement net.</t>
  </si>
  <si>
    <t xml:space="preserve"> Bâtiments (1) </t>
  </si>
  <si>
    <t>dont investissement net</t>
  </si>
  <si>
    <t>Agencements, aménagements et installations</t>
  </si>
  <si>
    <t>Matériel, mobilier et actifs biologiques</t>
  </si>
  <si>
    <t>Matériel de transport</t>
  </si>
  <si>
    <t>AVANCES ET ACOMPTES SUR IMMOBILISATIONS</t>
  </si>
  <si>
    <t>IMMOBILISATIONS FINANCIÈRES</t>
  </si>
  <si>
    <t>Titres de participation</t>
  </si>
  <si>
    <t>Autres immobilisations financières</t>
  </si>
  <si>
    <t>TOTAL DE L'ACTIF IMMOBILISÉ</t>
  </si>
  <si>
    <t>ACTIF CIRCULANT DE HAO</t>
  </si>
  <si>
    <t>STOCKS ET EN-COURS</t>
  </si>
  <si>
    <t>CRÉANCES ET EMPLOIS SIMILAIRES</t>
  </si>
  <si>
    <t>Fournisseurs avances versées</t>
  </si>
  <si>
    <t>Autres créances</t>
  </si>
  <si>
    <t>TOTAL DE L'ACTIF CIRCULANT</t>
  </si>
  <si>
    <t>Valeurs mobilières de placement</t>
  </si>
  <si>
    <t>Disponibilités</t>
  </si>
  <si>
    <t>Banque, chèque postal, caisse et assimilés</t>
  </si>
  <si>
    <t>TOTAL DE LA TRÉSORERIE ET DES ÉQUIVALENTS DE TRÉSORERIE</t>
  </si>
  <si>
    <t>Écart de conversion - Actif</t>
  </si>
  <si>
    <t>TOTAL ACTIF</t>
  </si>
  <si>
    <t>PASSIF</t>
  </si>
  <si>
    <t>Capital non appelé des apporteurs (-)</t>
  </si>
  <si>
    <t>Primes liées au capital social</t>
  </si>
  <si>
    <t>Ecarts de réévaluation</t>
  </si>
  <si>
    <t>Réserves indisponibles</t>
  </si>
  <si>
    <t>Réserves libres</t>
  </si>
  <si>
    <t>Report à nouveau (+ ou -)</t>
  </si>
  <si>
    <t>Résultat net de l'exercice (bénéfice + perte -)</t>
  </si>
  <si>
    <t>Subventions d'investissement</t>
  </si>
  <si>
    <t>Provisions réglées</t>
  </si>
  <si>
    <t>TOTAL DES CAPITAUX PROPRES ET RESSOURCES SIMILAIRES</t>
  </si>
  <si>
    <t>Emprunts et dettes financières diverses</t>
  </si>
  <si>
    <t>Dettes de location-vente</t>
  </si>
  <si>
    <t>Provisions pour risques et charges</t>
  </si>
  <si>
    <t>TOTAL DES DETTES FINANCIÈRES ET RESSOURCES ASSIMILÉES</t>
  </si>
  <si>
    <t>TOTAL DES RESSOURCES STABLES</t>
  </si>
  <si>
    <t>Passif circulant HAO</t>
  </si>
  <si>
    <t>Clients, avances reçues</t>
  </si>
  <si>
    <t>Fournisseurs d'exploitation</t>
  </si>
  <si>
    <t>Dettes fiscales et sociales</t>
  </si>
  <si>
    <t>Autres dettes</t>
  </si>
  <si>
    <t>Provisions pour risques à court terme</t>
  </si>
  <si>
    <t>TOTAL DES PASSIFS COURANTS</t>
  </si>
  <si>
    <t>Banques, crédits d'escompte</t>
  </si>
  <si>
    <t>Banques, établissements financiers et crédits de caisse</t>
  </si>
  <si>
    <t>Ecarts de conversion - Passif</t>
  </si>
  <si>
    <t>TOTAL DES PASSIFS</t>
  </si>
  <si>
    <t>Compte de résultat</t>
  </si>
  <si>
    <t>Ventes de marchandises A</t>
  </si>
  <si>
    <t xml:space="preserve">Achats de marchandises                                         </t>
  </si>
  <si>
    <t>Variation des stocks de marchandises</t>
  </si>
  <si>
    <t>MARGE COMMERCIALE (Somme TA à RB)</t>
  </si>
  <si>
    <t>Ventes de produits manufacturés B</t>
  </si>
  <si>
    <t>Travaux, services vendus C</t>
  </si>
  <si>
    <t>Produits accessoires D</t>
  </si>
  <si>
    <t>CHIFFRE D'AFFAIRES (A+B+C+D)</t>
  </si>
  <si>
    <t>Production stockée (ou déstockage)</t>
  </si>
  <si>
    <t>Production immobilisée</t>
  </si>
  <si>
    <t>Subvention d'exploitation</t>
  </si>
  <si>
    <t>Autres produits</t>
  </si>
  <si>
    <t>Transfert de charges d'exploitation</t>
  </si>
  <si>
    <t>Achats de matières premières et fournitures connexes</t>
  </si>
  <si>
    <t>Variation des stocks de matières premières et fournitures connexes</t>
  </si>
  <si>
    <t>Autres achats</t>
  </si>
  <si>
    <t>Variation des stocks d'autres fournitures</t>
  </si>
  <si>
    <t>Services extérieurs</t>
  </si>
  <si>
    <t>Impôts et taxes</t>
  </si>
  <si>
    <t>Autres dépenses</t>
  </si>
  <si>
    <t>VALEUR AJOUTÉE (XB+RA+RB) + (Somme TE à RJ)</t>
  </si>
  <si>
    <t>Frais de personnel</t>
  </si>
  <si>
    <t>EXCÉDENT BRUT D'EXPLOITATION</t>
  </si>
  <si>
    <t>Reprises de dépréciations, amortissements, provisions et pertes de valeur</t>
  </si>
  <si>
    <t>RÉSULTAT D'EXPLOITATION (XD+TJ+RL)</t>
  </si>
  <si>
    <t>Produits financiers et assimilés</t>
  </si>
  <si>
    <t>Reprises sur provisions et pertes de valeur</t>
  </si>
  <si>
    <t>Transfert de charges financières</t>
  </si>
  <si>
    <t>Charges financières et assimilées</t>
  </si>
  <si>
    <t>Dotations aux provisions et dépréciations financières</t>
  </si>
  <si>
    <t>RÉSULTAT FINANCIER (Somme TK à RN)</t>
  </si>
  <si>
    <t>RÉSULTAT DES ACTIVITÉS ORDINAIRES (XE+XF)</t>
  </si>
  <si>
    <t>Produits des cessions d'immobilisations</t>
  </si>
  <si>
    <t>Autres produits HAO</t>
  </si>
  <si>
    <t>Valeur comptable des cessions d'actifs immobilisés</t>
  </si>
  <si>
    <t>Autres charges HAO</t>
  </si>
  <si>
    <t>RÉSULTATS DES ACTIVITÉS ORDINAIRES (Somme TN à RP)</t>
  </si>
  <si>
    <t>Participation des travailleurs</t>
  </si>
  <si>
    <t>Charge d'impôt sur le revenu</t>
  </si>
  <si>
    <t>RÉSULTAT NET (XG+XH+RQ+RS)</t>
  </si>
  <si>
    <t>SCORE DE DEFAILLANCE ACREMAC</t>
  </si>
  <si>
    <t>R1 = Frais financiers / EBITDA</t>
  </si>
  <si>
    <t>R2 = (Créances+débiteurs)/TC créanciers</t>
  </si>
  <si>
    <t>R3 = Capitaux permanents / Passif</t>
  </si>
  <si>
    <t>R5 = Trésorerie / Ventes (j)</t>
  </si>
  <si>
    <t>R6 = Fonds de roulement / CA (j)</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</si>
</sst>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 _€_-;\-* #,##0.00\ _€_-;_-* &quot;-&quot;??\ _€_-;_-@_-"/>
    <numFmt numFmtId="165" formatCode="_-* #,##0\ _€_-;\-* #,##0\ _€_-;_-* &quot;-&quot;??\ _€_-;_-@_-"/>
    <numFmt numFmtId="166" formatCode="#,##0_ ;\(#,##0\)\ "/>
    <numFmt numFmtId="167" formatCode="0.000"/>
  </numFmts>
  <fonts count="53">
    <font>
      <sz val="10"/>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Arial"/>
      <family val="2"/>
    </font>
    <font>
      <b/>
      <sz val="11"/>
      <color theme="1"/>
      <name val="Arial"/>
      <family val="2"/>
    </font>
    <font>
      <b/>
      <sz val="10"/>
      <color theme="1"/>
      <name val="Arial"/>
      <family val="2"/>
    </font>
    <font>
      <sz val="9"/>
      <color theme="1" tint="4.9989318521683403E-2"/>
      <name val="Arial"/>
      <family val="2"/>
    </font>
    <font>
      <b/>
      <sz val="9"/>
      <color theme="1" tint="4.9989318521683403E-2"/>
      <name val="Arial"/>
      <family val="2"/>
    </font>
    <font>
      <sz val="11"/>
      <name val="Arial"/>
      <family val="2"/>
    </font>
    <font>
      <sz val="10"/>
      <color indexed="8"/>
      <name val="Arial"/>
      <family val="2"/>
      <charset val="1"/>
    </font>
    <font>
      <sz val="10"/>
      <color indexed="8"/>
      <name val="Arial"/>
      <family val="2"/>
    </font>
    <font>
      <sz val="8"/>
      <color indexed="8"/>
      <name val="Arial"/>
      <family val="2"/>
    </font>
    <font>
      <sz val="8"/>
      <name val="Arial"/>
      <family val="2"/>
    </font>
    <font>
      <b/>
      <sz val="10"/>
      <color indexed="8"/>
      <name val="Arial"/>
      <family val="2"/>
    </font>
    <font>
      <b/>
      <sz val="8"/>
      <color indexed="8"/>
      <name val="Arial"/>
      <family val="2"/>
    </font>
    <font>
      <sz val="10"/>
      <color theme="1"/>
      <name val="Arial"/>
      <family val="2"/>
    </font>
    <font>
      <sz val="8"/>
      <color theme="1"/>
      <name val="Arial"/>
      <family val="2"/>
    </font>
    <font>
      <b/>
      <sz val="11"/>
      <color theme="1"/>
      <name val="Calibri"/>
      <family val="2"/>
      <scheme val="minor"/>
    </font>
    <font>
      <sz val="10"/>
      <name val="Arial"/>
      <family val="2"/>
    </font>
    <font>
      <b/>
      <sz val="10"/>
      <name val="Arial"/>
      <family val="2"/>
    </font>
    <font>
      <b/>
      <sz val="18"/>
      <color theme="1"/>
      <name val="Calibri"/>
      <family val="2"/>
      <scheme val="minor"/>
    </font>
    <font>
      <b/>
      <sz val="10"/>
      <color theme="1"/>
      <name val="Calibri"/>
      <family val="2"/>
      <scheme val="minor"/>
    </font>
    <font>
      <sz val="10"/>
      <color rgb="FFFF0000"/>
      <name val="Calibri"/>
      <family val="2"/>
      <scheme val="minor"/>
    </font>
    <font>
      <sz val="10"/>
      <color rgb="FFFF0000"/>
      <name val="Arial"/>
      <family val="2"/>
    </font>
    <font>
      <i/>
      <sz val="7"/>
      <name val="Arial"/>
      <family val="2"/>
    </font>
    <font>
      <sz val="7"/>
      <name val="Arial"/>
      <family val="2"/>
    </font>
    <font>
      <i/>
      <sz val="7"/>
      <color theme="1"/>
      <name val="Calibri"/>
      <family val="2"/>
      <scheme val="minor"/>
    </font>
    <font>
      <b/>
      <sz val="16"/>
      <color theme="0"/>
      <name val="Verdana"/>
      <family val="2"/>
    </font>
    <font>
      <b/>
      <sz val="16"/>
      <color theme="0"/>
      <name val="Calibri"/>
      <family val="2"/>
      <scheme val="minor"/>
    </font>
    <font>
      <sz val="11"/>
      <color indexed="8"/>
      <name val="Verdana"/>
      <family val="2"/>
    </font>
    <font>
      <sz val="10"/>
      <name val="Geneva"/>
    </font>
    <font>
      <b/>
      <sz val="10"/>
      <name val="Geneva"/>
    </font>
    <font>
      <b/>
      <sz val="11"/>
      <color indexed="8"/>
      <name val="Verdana"/>
      <family val="2"/>
    </font>
    <font>
      <b/>
      <sz val="9"/>
      <color indexed="8"/>
      <name val="Verdana"/>
      <family val="2"/>
    </font>
    <font>
      <b/>
      <sz val="11"/>
      <color theme="8" tint="-0.249977111117893"/>
      <name val="Verdana"/>
      <family val="2"/>
    </font>
    <font>
      <b/>
      <sz val="11"/>
      <color theme="0"/>
      <name val="Verdana"/>
      <family val="2"/>
    </font>
    <font>
      <b/>
      <sz val="8"/>
      <color theme="0"/>
      <name val="Verdana"/>
      <family val="2"/>
    </font>
    <font>
      <b/>
      <sz val="8"/>
      <color theme="0"/>
      <name val="Calibri"/>
      <family val="2"/>
      <scheme val="minor"/>
    </font>
    <font>
      <sz val="8"/>
      <color theme="1"/>
      <name val="Calibri"/>
      <family val="2"/>
      <scheme val="minor"/>
    </font>
    <font>
      <b/>
      <sz val="8"/>
      <color theme="8" tint="-0.249977111117893"/>
      <name val="Verdana"/>
      <family val="2"/>
    </font>
    <font>
      <sz val="11"/>
      <color theme="0"/>
      <name val="Verdana"/>
      <family val="2"/>
    </font>
    <font>
      <b/>
      <sz val="12"/>
      <color theme="0"/>
      <name val="Verdana"/>
      <family val="2"/>
    </font>
    <font>
      <b/>
      <sz val="12"/>
      <color theme="0"/>
      <name val="Calibri"/>
      <family val="2"/>
      <scheme val="minor"/>
    </font>
    <font>
      <sz val="11"/>
      <color theme="1"/>
      <name val="Calibri"/>
      <family val="1"/>
      <scheme val="minor"/>
    </font>
    <font>
      <b/>
      <sz val="18"/>
      <color theme="0"/>
      <name val="Calibri"/>
      <family val="2"/>
    </font>
    <font>
      <b/>
      <sz val="14"/>
      <color theme="1"/>
      <name val="Calibri"/>
      <family val="2"/>
      <scheme val="minor"/>
    </font>
    <font>
      <sz val="8"/>
      <color theme="1"/>
      <name val="Verdana"/>
      <family val="2"/>
    </font>
    <font>
      <sz val="9"/>
      <color theme="1"/>
      <name val="Verdana"/>
      <family val="2"/>
    </font>
    <font>
      <sz val="9"/>
      <color indexed="8"/>
      <name val="Verdana"/>
      <family val="2"/>
    </font>
    <font>
      <sz val="9"/>
      <color theme="1"/>
      <name val="Calibri"/>
      <family val="2"/>
      <scheme val="minor"/>
    </font>
    <font>
      <i/>
      <sz val="9"/>
      <color theme="1"/>
      <name val="Verdana"/>
      <family val="2"/>
    </font>
    <font>
      <i/>
      <sz val="9"/>
      <color theme="1"/>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indexed="9"/>
        <bgColor indexed="26"/>
      </patternFill>
    </fill>
    <fill>
      <patternFill patternType="solid">
        <fgColor theme="0" tint="-4.9989318521683403E-2"/>
        <bgColor indexed="64"/>
      </patternFill>
    </fill>
    <fill>
      <patternFill patternType="solid">
        <fgColor rgb="FFFFFFCC"/>
        <bgColor indexed="64"/>
      </patternFill>
    </fill>
    <fill>
      <patternFill patternType="solid">
        <fgColor theme="0" tint="-0.249977111117893"/>
        <bgColor indexed="26"/>
      </patternFill>
    </fill>
    <fill>
      <patternFill patternType="solid">
        <fgColor theme="0" tint="-0.249977111117893"/>
        <bgColor indexed="64"/>
      </patternFill>
    </fill>
    <fill>
      <patternFill patternType="solid">
        <fgColor theme="0" tint="-4.9989318521683403E-2"/>
        <bgColor indexed="26"/>
      </patternFill>
    </fill>
    <fill>
      <patternFill patternType="solid">
        <fgColor theme="8"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5"/>
        <bgColor indexed="64"/>
      </patternFill>
    </fill>
    <fill>
      <patternFill patternType="solid">
        <fgColor rgb="FF00B050"/>
        <bgColor indexed="64"/>
      </patternFill>
    </fill>
    <fill>
      <patternFill patternType="solid">
        <fgColor rgb="FF00B0F0"/>
        <bgColor indexed="64"/>
      </patternFill>
    </fill>
  </fills>
  <borders count="168">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style="thin">
        <color auto="1"/>
      </right>
      <top/>
      <bottom style="hair">
        <color auto="1"/>
      </bottom>
      <diagonal/>
    </border>
    <border>
      <left style="hair">
        <color auto="1"/>
      </left>
      <right style="thin">
        <color auto="1"/>
      </right>
      <top style="hair">
        <color auto="1"/>
      </top>
      <bottom/>
      <diagonal/>
    </border>
    <border>
      <left style="thin">
        <color auto="1"/>
      </left>
      <right style="medium">
        <color auto="1"/>
      </right>
      <top style="hair">
        <color auto="1"/>
      </top>
      <bottom/>
      <diagonal/>
    </border>
    <border>
      <left style="hair">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bottom style="hair">
        <color indexed="8"/>
      </bottom>
      <diagonal/>
    </border>
    <border>
      <left style="thin">
        <color indexed="8"/>
      </left>
      <right style="medium">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diagonal/>
    </border>
    <border>
      <left style="thin">
        <color indexed="8"/>
      </left>
      <right style="medium">
        <color indexed="8"/>
      </right>
      <top style="hair">
        <color indexed="8"/>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thin">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theme="1" tint="4.9989318521683403E-2"/>
      </left>
      <right style="thin">
        <color theme="1" tint="4.9989318521683403E-2"/>
      </right>
      <top style="medium">
        <color theme="1" tint="4.9989318521683403E-2"/>
      </top>
      <bottom/>
      <diagonal/>
    </border>
    <border>
      <left style="thin">
        <color theme="1" tint="4.9989318521683403E-2"/>
      </left>
      <right style="thin">
        <color theme="1" tint="4.9989318521683403E-2"/>
      </right>
      <top style="medium">
        <color theme="1" tint="4.9989318521683403E-2"/>
      </top>
      <bottom/>
      <diagonal/>
    </border>
    <border>
      <left style="thin">
        <color theme="1" tint="4.9989318521683403E-2"/>
      </left>
      <right/>
      <top style="medium">
        <color theme="1" tint="4.9989318521683403E-2"/>
      </top>
      <bottom/>
      <diagonal/>
    </border>
    <border>
      <left/>
      <right style="thin">
        <color theme="1" tint="4.9989318521683403E-2"/>
      </right>
      <top style="medium">
        <color theme="1" tint="4.9989318521683403E-2"/>
      </top>
      <bottom/>
      <diagonal/>
    </border>
    <border>
      <left style="medium">
        <color theme="1" tint="4.9989318521683403E-2"/>
      </left>
      <right style="thin">
        <color theme="1" tint="4.9989318521683403E-2"/>
      </right>
      <top/>
      <bottom/>
      <diagonal/>
    </border>
    <border>
      <left style="thin">
        <color theme="1" tint="4.9989318521683403E-2"/>
      </left>
      <right style="thin">
        <color theme="1" tint="4.9989318521683403E-2"/>
      </right>
      <top/>
      <bottom/>
      <diagonal/>
    </border>
    <border>
      <left style="thin">
        <color theme="1" tint="4.9989318521683403E-2"/>
      </left>
      <right/>
      <top/>
      <bottom/>
      <diagonal/>
    </border>
    <border>
      <left/>
      <right style="thin">
        <color theme="1" tint="4.9989318521683403E-2"/>
      </right>
      <top/>
      <bottom/>
      <diagonal/>
    </border>
    <border>
      <left style="thin">
        <color theme="1" tint="4.9989318521683403E-2"/>
      </left>
      <right style="thin">
        <color theme="1" tint="4.9989318521683403E-2"/>
      </right>
      <top/>
      <bottom style="thin">
        <color indexed="8"/>
      </bottom>
      <diagonal/>
    </border>
    <border>
      <left style="thin">
        <color theme="1" tint="4.9989318521683403E-2"/>
      </left>
      <right style="thin">
        <color theme="1" tint="4.9989318521683403E-2"/>
      </right>
      <top style="thin">
        <color indexed="8"/>
      </top>
      <bottom/>
      <diagonal/>
    </border>
    <border>
      <left style="medium">
        <color theme="1" tint="4.9989318521683403E-2"/>
      </left>
      <right style="thin">
        <color theme="1" tint="4.9989318521683403E-2"/>
      </right>
      <top style="thin">
        <color indexed="8"/>
      </top>
      <bottom style="thin">
        <color indexed="8"/>
      </bottom>
      <diagonal/>
    </border>
    <border>
      <left style="thin">
        <color theme="1" tint="4.9989318521683403E-2"/>
      </left>
      <right style="thin">
        <color theme="1" tint="4.9989318521683403E-2"/>
      </right>
      <top style="thin">
        <color indexed="8"/>
      </top>
      <bottom style="thin">
        <color indexed="8"/>
      </bottom>
      <diagonal/>
    </border>
    <border>
      <left style="thin">
        <color theme="1" tint="4.9989318521683403E-2"/>
      </left>
      <right/>
      <top style="thin">
        <color indexed="8"/>
      </top>
      <bottom style="thin">
        <color indexed="8"/>
      </bottom>
      <diagonal/>
    </border>
    <border>
      <left/>
      <right style="thin">
        <color theme="1" tint="4.9989318521683403E-2"/>
      </right>
      <top style="thin">
        <color indexed="8"/>
      </top>
      <bottom style="thin">
        <color indexed="8"/>
      </bottom>
      <diagonal/>
    </border>
    <border>
      <left style="medium">
        <color theme="1" tint="4.9989318521683403E-2"/>
      </left>
      <right style="thin">
        <color theme="1" tint="4.9989318521683403E-2"/>
      </right>
      <top style="thin">
        <color indexed="8"/>
      </top>
      <bottom style="hair">
        <color theme="1" tint="4.9989318521683403E-2"/>
      </bottom>
      <diagonal/>
    </border>
    <border>
      <left style="thin">
        <color theme="1" tint="4.9989318521683403E-2"/>
      </left>
      <right/>
      <top style="thin">
        <color indexed="8"/>
      </top>
      <bottom/>
      <diagonal/>
    </border>
    <border>
      <left/>
      <right style="thin">
        <color theme="1" tint="4.9989318521683403E-2"/>
      </right>
      <top style="thin">
        <color indexed="8"/>
      </top>
      <bottom/>
      <diagonal/>
    </border>
    <border>
      <left style="thin">
        <color theme="1" tint="4.9989318521683403E-2"/>
      </left>
      <right style="thin">
        <color theme="1" tint="4.9989318521683403E-2"/>
      </right>
      <top style="thin">
        <color indexed="8"/>
      </top>
      <bottom style="hair">
        <color theme="1" tint="4.9989318521683403E-2"/>
      </bottom>
      <diagonal/>
    </border>
    <border>
      <left style="medium">
        <color theme="1" tint="4.9989318521683403E-2"/>
      </left>
      <right style="thin">
        <color theme="1" tint="4.9989318521683403E-2"/>
      </right>
      <top style="hair">
        <color theme="1" tint="4.9989318521683403E-2"/>
      </top>
      <bottom style="hair">
        <color theme="1" tint="4.9989318521683403E-2"/>
      </bottom>
      <diagonal/>
    </border>
    <border>
      <left style="thin">
        <color theme="1" tint="4.9989318521683403E-2"/>
      </left>
      <right style="thin">
        <color theme="1" tint="4.9989318521683403E-2"/>
      </right>
      <top style="hair">
        <color theme="1" tint="4.9989318521683403E-2"/>
      </top>
      <bottom style="hair">
        <color theme="1" tint="4.9989318521683403E-2"/>
      </bottom>
      <diagonal/>
    </border>
    <border>
      <left style="medium">
        <color theme="1" tint="4.9989318521683403E-2"/>
      </left>
      <right style="thin">
        <color theme="1" tint="4.9989318521683403E-2"/>
      </right>
      <top style="hair">
        <color theme="1" tint="4.9989318521683403E-2"/>
      </top>
      <bottom/>
      <diagonal/>
    </border>
    <border>
      <left style="thin">
        <color theme="1" tint="4.9989318521683403E-2"/>
      </left>
      <right/>
      <top/>
      <bottom style="thin">
        <color indexed="8"/>
      </bottom>
      <diagonal/>
    </border>
    <border>
      <left/>
      <right style="thin">
        <color theme="1" tint="4.9989318521683403E-2"/>
      </right>
      <top/>
      <bottom style="thin">
        <color indexed="8"/>
      </bottom>
      <diagonal/>
    </border>
    <border>
      <left style="thin">
        <color theme="1" tint="4.9989318521683403E-2"/>
      </left>
      <right style="thin">
        <color theme="1" tint="4.9989318521683403E-2"/>
      </right>
      <top style="hair">
        <color theme="1" tint="4.9989318521683403E-2"/>
      </top>
      <bottom style="thin">
        <color indexed="8"/>
      </bottom>
      <diagonal/>
    </border>
    <border>
      <left style="thin">
        <color theme="1" tint="4.9989318521683403E-2"/>
      </left>
      <right style="thin">
        <color theme="1" tint="4.9989318521683403E-2"/>
      </right>
      <top style="hair">
        <color theme="1" tint="4.9989318521683403E-2"/>
      </top>
      <bottom style="hair">
        <color indexed="8"/>
      </bottom>
      <diagonal/>
    </border>
    <border>
      <left/>
      <right/>
      <top style="thin">
        <color indexed="8"/>
      </top>
      <bottom/>
      <diagonal/>
    </border>
    <border>
      <left style="thin">
        <color theme="1" tint="4.9989318521683403E-2"/>
      </left>
      <right style="thin">
        <color theme="1" tint="4.9989318521683403E-2"/>
      </right>
      <top style="thin">
        <color theme="1" tint="4.9989318521683403E-2"/>
      </top>
      <bottom/>
      <diagonal/>
    </border>
    <border>
      <left/>
      <right style="thin">
        <color indexed="8"/>
      </right>
      <top/>
      <bottom style="dotted">
        <color indexed="8"/>
      </bottom>
      <diagonal/>
    </border>
    <border>
      <left/>
      <right style="thin">
        <color theme="1" tint="4.9989318521683403E-2"/>
      </right>
      <top/>
      <bottom style="dotted">
        <color indexed="8"/>
      </bottom>
      <diagonal/>
    </border>
    <border>
      <left style="thin">
        <color theme="1" tint="4.9989318521683403E-2"/>
      </left>
      <right style="thin">
        <color theme="1" tint="4.9989318521683403E-2"/>
      </right>
      <top/>
      <bottom style="hair">
        <color indexed="8"/>
      </bottom>
      <diagonal/>
    </border>
    <border>
      <left style="thin">
        <color theme="1" tint="4.9989318521683403E-2"/>
      </left>
      <right style="thin">
        <color theme="1" tint="4.9989318521683403E-2"/>
      </right>
      <top/>
      <bottom style="hair">
        <color theme="1" tint="4.9989318521683403E-2"/>
      </bottom>
      <diagonal/>
    </border>
    <border>
      <left/>
      <right/>
      <top style="dotted">
        <color indexed="8"/>
      </top>
      <bottom/>
      <diagonal/>
    </border>
    <border>
      <left/>
      <right style="thin">
        <color theme="1" tint="4.9989318521683403E-2"/>
      </right>
      <top style="dotted">
        <color indexed="8"/>
      </top>
      <bottom/>
      <diagonal/>
    </border>
    <border>
      <left style="thin">
        <color theme="1" tint="4.9989318521683403E-2"/>
      </left>
      <right style="thin">
        <color theme="1" tint="4.9989318521683403E-2"/>
      </right>
      <top style="hair">
        <color indexed="8"/>
      </top>
      <bottom/>
      <diagonal/>
    </border>
    <border>
      <left style="thin">
        <color theme="1" tint="4.9989318521683403E-2"/>
      </left>
      <right style="thin">
        <color theme="1" tint="4.9989318521683403E-2"/>
      </right>
      <top style="hair">
        <color theme="1" tint="4.9989318521683403E-2"/>
      </top>
      <bottom/>
      <diagonal/>
    </border>
    <border>
      <left style="thin">
        <color indexed="8"/>
      </left>
      <right style="thin">
        <color theme="1" tint="4.9989318521683403E-2"/>
      </right>
      <top/>
      <bottom style="dotted">
        <color indexed="8"/>
      </bottom>
      <diagonal/>
    </border>
    <border>
      <left style="thin">
        <color theme="1" tint="4.9989318521683403E-2"/>
      </left>
      <right style="thin">
        <color theme="1" tint="4.9989318521683403E-2"/>
      </right>
      <top style="hair">
        <color indexed="8"/>
      </top>
      <bottom style="hair">
        <color indexed="8"/>
      </bottom>
      <diagonal/>
    </border>
    <border>
      <left style="thin">
        <color theme="1" tint="4.9989318521683403E-2"/>
      </left>
      <right style="thin">
        <color theme="1" tint="4.9989318521683403E-2"/>
      </right>
      <top/>
      <bottom style="thin">
        <color auto="1"/>
      </bottom>
      <diagonal/>
    </border>
    <border>
      <left style="thin">
        <color theme="1" tint="4.9989318521683403E-2"/>
      </left>
      <right/>
      <top/>
      <bottom style="thin">
        <color auto="1"/>
      </bottom>
      <diagonal/>
    </border>
    <border>
      <left style="thin">
        <color theme="1" tint="4.9989318521683403E-2"/>
      </left>
      <right/>
      <top style="thin">
        <color auto="1"/>
      </top>
      <bottom style="thin">
        <color indexed="8"/>
      </bottom>
      <diagonal/>
    </border>
    <border>
      <left/>
      <right/>
      <top style="thin">
        <color auto="1"/>
      </top>
      <bottom style="thin">
        <color indexed="8"/>
      </bottom>
      <diagonal/>
    </border>
    <border>
      <left/>
      <right style="thin">
        <color theme="1" tint="4.9989318521683403E-2"/>
      </right>
      <top style="thin">
        <color auto="1"/>
      </top>
      <bottom style="thin">
        <color indexed="8"/>
      </bottom>
      <diagonal/>
    </border>
    <border>
      <left style="thin">
        <color theme="1" tint="4.9989318521683403E-2"/>
      </left>
      <right style="thin">
        <color theme="1" tint="4.9989318521683403E-2"/>
      </right>
      <top style="thin">
        <color auto="1"/>
      </top>
      <bottom style="thin">
        <color indexed="8"/>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style="hair">
        <color theme="1" tint="4.9989318521683403E-2"/>
      </top>
      <bottom style="thin">
        <color theme="1" tint="4.9989318521683403E-2"/>
      </bottom>
      <diagonal/>
    </border>
    <border>
      <left style="thin">
        <color theme="1" tint="4.9989318521683403E-2"/>
      </left>
      <right style="thin">
        <color theme="1" tint="4.9989318521683403E-2"/>
      </right>
      <top style="thin">
        <color indexed="8"/>
      </top>
      <bottom style="hair">
        <color indexed="8"/>
      </bottom>
      <diagonal/>
    </border>
    <border>
      <left style="thin">
        <color theme="1" tint="4.9989318521683403E-2"/>
      </left>
      <right style="thin">
        <color theme="1" tint="4.9989318521683403E-2"/>
      </right>
      <top style="thin">
        <color theme="1" tint="4.9989318521683403E-2"/>
      </top>
      <bottom style="hair">
        <color theme="1" tint="4.9989318521683403E-2"/>
      </bottom>
      <diagonal/>
    </border>
    <border>
      <left/>
      <right/>
      <top/>
      <bottom style="thin">
        <color indexed="8"/>
      </bottom>
      <diagonal/>
    </border>
    <border>
      <left style="thin">
        <color theme="1" tint="4.9989318521683403E-2"/>
      </left>
      <right style="thin">
        <color theme="1" tint="4.9989318521683403E-2"/>
      </right>
      <top style="hair">
        <color indexed="8"/>
      </top>
      <bottom style="thin">
        <color indexed="8"/>
      </bottom>
      <diagonal/>
    </border>
    <border>
      <left/>
      <right/>
      <top style="thin">
        <color indexed="8"/>
      </top>
      <bottom style="thin">
        <color indexed="8"/>
      </bottom>
      <diagonal/>
    </border>
    <border>
      <left style="medium">
        <color theme="1" tint="4.9989318521683403E-2"/>
      </left>
      <right style="thin">
        <color theme="1" tint="4.9989318521683403E-2"/>
      </right>
      <top style="thin">
        <color theme="1" tint="4.9989318521683403E-2"/>
      </top>
      <bottom style="medium">
        <color theme="1" tint="4.9989318521683403E-2"/>
      </bottom>
      <diagonal/>
    </border>
    <border>
      <left style="thin">
        <color theme="1" tint="4.9989318521683403E-2"/>
      </left>
      <right style="thin">
        <color theme="1" tint="4.9989318521683403E-2"/>
      </right>
      <top style="thin">
        <color indexed="8"/>
      </top>
      <bottom style="medium">
        <color theme="1" tint="4.9989318521683403E-2"/>
      </bottom>
      <diagonal/>
    </border>
    <border>
      <left style="thin">
        <color theme="1" tint="4.9989318521683403E-2"/>
      </left>
      <right/>
      <top style="thin">
        <color indexed="8"/>
      </top>
      <bottom style="medium">
        <color theme="1" tint="4.9989318521683403E-2"/>
      </bottom>
      <diagonal/>
    </border>
    <border>
      <left/>
      <right style="thin">
        <color theme="1" tint="4.9989318521683403E-2"/>
      </right>
      <top style="thin">
        <color indexed="8"/>
      </top>
      <bottom style="medium">
        <color theme="1" tint="4.9989318521683403E-2"/>
      </bottom>
      <diagonal/>
    </border>
    <border>
      <left/>
      <right/>
      <top/>
      <bottom style="hair">
        <color auto="1"/>
      </bottom>
      <diagonal/>
    </border>
    <border>
      <left/>
      <right/>
      <top style="hair">
        <color auto="1"/>
      </top>
      <bottom/>
      <diagonal/>
    </border>
    <border>
      <left style="thin">
        <color indexed="64"/>
      </left>
      <right style="thin">
        <color indexed="64"/>
      </right>
      <top style="thin">
        <color indexed="64"/>
      </top>
      <bottom style="thin">
        <color indexed="64"/>
      </bottom>
      <diagonal/>
    </border>
    <border>
      <left style="thin">
        <color theme="1" tint="4.9989318521683403E-2"/>
      </left>
      <right/>
      <top style="thin">
        <color indexed="8"/>
      </top>
      <bottom style="thin">
        <color indexed="8"/>
      </bottom>
      <diagonal/>
    </border>
    <border>
      <left style="thin">
        <color theme="1" tint="4.9989318521683403E-2"/>
      </left>
      <right/>
      <top style="thin">
        <color indexed="8"/>
      </top>
      <bottom style="hair">
        <color theme="1" tint="4.9989318521683403E-2"/>
      </bottom>
      <diagonal/>
    </border>
    <border>
      <left style="thin">
        <color theme="1" tint="4.9989318521683403E-2"/>
      </left>
      <right/>
      <top style="hair">
        <color theme="1" tint="4.9989318521683403E-2"/>
      </top>
      <bottom style="hair">
        <color theme="1" tint="4.9989318521683403E-2"/>
      </bottom>
      <diagonal/>
    </border>
    <border>
      <left style="thin">
        <color theme="1" tint="4.9989318521683403E-2"/>
      </left>
      <right/>
      <top style="hair">
        <color theme="1" tint="4.9989318521683403E-2"/>
      </top>
      <bottom style="thin">
        <color indexed="8"/>
      </bottom>
      <diagonal/>
    </border>
    <border>
      <left style="thin">
        <color theme="1" tint="4.9989318521683403E-2"/>
      </left>
      <right/>
      <top style="thin">
        <color indexed="8"/>
      </top>
      <bottom/>
      <diagonal/>
    </border>
    <border>
      <left style="thin">
        <color theme="1" tint="4.9989318521683403E-2"/>
      </left>
      <right/>
      <top/>
      <bottom style="hair">
        <color indexed="8"/>
      </bottom>
      <diagonal/>
    </border>
    <border>
      <left style="thin">
        <color theme="1" tint="4.9989318521683403E-2"/>
      </left>
      <right/>
      <top style="hair">
        <color indexed="8"/>
      </top>
      <bottom/>
      <diagonal/>
    </border>
    <border>
      <left style="thin">
        <color theme="1" tint="4.9989318521683403E-2"/>
      </left>
      <right/>
      <top style="hair">
        <color indexed="8"/>
      </top>
      <bottom style="hair">
        <color indexed="8"/>
      </bottom>
      <diagonal/>
    </border>
    <border>
      <left style="thin">
        <color theme="1" tint="4.9989318521683403E-2"/>
      </left>
      <right/>
      <top style="thin">
        <color indexed="8"/>
      </top>
      <bottom style="hair">
        <color indexed="8"/>
      </bottom>
      <diagonal/>
    </border>
    <border>
      <left style="thin">
        <color theme="1" tint="4.9989318521683403E-2"/>
      </left>
      <right/>
      <top style="hair">
        <color indexed="8"/>
      </top>
      <bottom style="thin">
        <color indexed="8"/>
      </bottom>
      <diagonal/>
    </border>
    <border>
      <left style="thin">
        <color theme="1" tint="4.9989318521683403E-2"/>
      </left>
      <right/>
      <top style="thin">
        <color indexed="8"/>
      </top>
      <bottom style="medium">
        <color theme="1" tint="4.9989318521683403E-2"/>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ck">
        <color theme="2"/>
      </left>
      <right style="thick">
        <color theme="2"/>
      </right>
      <top style="thick">
        <color theme="2"/>
      </top>
      <bottom style="thick">
        <color theme="2"/>
      </bottom>
      <diagonal/>
    </border>
    <border>
      <left/>
      <right style="thick">
        <color theme="2"/>
      </right>
      <top style="thick">
        <color theme="2"/>
      </top>
      <bottom style="thick">
        <color theme="2"/>
      </bottom>
      <diagonal/>
    </border>
    <border>
      <left/>
      <right/>
      <top style="thick">
        <color theme="2"/>
      </top>
      <bottom style="thick">
        <color theme="2"/>
      </bottom>
      <diagonal/>
    </border>
    <border>
      <left style="thick">
        <color theme="2"/>
      </left>
      <right/>
      <top style="thick">
        <color theme="2"/>
      </top>
      <bottom style="thick">
        <color theme="2"/>
      </bottom>
      <diagonal/>
    </border>
    <border>
      <left/>
      <right/>
      <top/>
      <bottom style="thick">
        <color theme="2"/>
      </bottom>
      <diagonal/>
    </border>
    <border>
      <left style="thick">
        <color theme="2"/>
      </left>
      <right/>
      <top/>
      <bottom/>
      <diagonal/>
    </border>
    <border>
      <left style="thin">
        <color indexed="64"/>
      </left>
      <right style="thin">
        <color indexed="64"/>
      </right>
      <top/>
      <bottom style="medium">
        <color indexed="64"/>
      </bottom>
      <diagonal/>
    </border>
    <border>
      <left/>
      <right/>
      <top/>
      <bottom style="medium">
        <color indexed="64"/>
      </bottom>
      <diagonal/>
    </border>
    <border>
      <left style="thick">
        <color theme="2"/>
      </left>
      <right style="thick">
        <color theme="2"/>
      </right>
      <top/>
      <bottom style="thick">
        <color theme="2"/>
      </bottom>
      <diagonal/>
    </border>
    <border>
      <left style="thick">
        <color theme="2"/>
      </left>
      <right/>
      <top/>
      <bottom style="thick">
        <color theme="2"/>
      </bottom>
      <diagonal/>
    </border>
    <border>
      <left/>
      <right style="thick">
        <color theme="2"/>
      </right>
      <top/>
      <bottom style="thick">
        <color theme="2"/>
      </bottom>
      <diagonal/>
    </border>
    <border>
      <left style="thick">
        <color theme="2"/>
      </left>
      <right style="thin">
        <color indexed="64"/>
      </right>
      <top style="thin">
        <color indexed="64"/>
      </top>
      <bottom style="thin">
        <color indexed="64"/>
      </bottom>
      <diagonal/>
    </border>
    <border>
      <left style="thick">
        <color theme="2"/>
      </left>
      <right style="thin">
        <color indexed="64"/>
      </right>
      <top style="thin">
        <color indexed="64"/>
      </top>
      <bottom style="thick">
        <color theme="2"/>
      </bottom>
      <diagonal/>
    </border>
    <border>
      <left style="thin">
        <color indexed="64"/>
      </left>
      <right style="thin">
        <color indexed="64"/>
      </right>
      <top style="thin">
        <color indexed="64"/>
      </top>
      <bottom style="thick">
        <color theme="2"/>
      </bottom>
      <diagonal/>
    </border>
    <border>
      <left style="thick">
        <color theme="2"/>
      </left>
      <right style="thin">
        <color indexed="64"/>
      </right>
      <top style="thick">
        <color theme="2"/>
      </top>
      <bottom style="thin">
        <color indexed="64"/>
      </bottom>
      <diagonal/>
    </border>
    <border>
      <left style="thin">
        <color indexed="64"/>
      </left>
      <right style="thin">
        <color indexed="64"/>
      </right>
      <top style="thick">
        <color theme="2"/>
      </top>
      <bottom style="thin">
        <color indexed="64"/>
      </bottom>
      <diagonal/>
    </border>
    <border>
      <left style="thin">
        <color indexed="64"/>
      </left>
      <right style="thick">
        <color theme="2"/>
      </right>
      <top style="thick">
        <color theme="2"/>
      </top>
      <bottom style="thin">
        <color indexed="64"/>
      </bottom>
      <diagonal/>
    </border>
    <border>
      <left style="thin">
        <color indexed="64"/>
      </left>
      <right style="thick">
        <color theme="2"/>
      </right>
      <top style="thin">
        <color indexed="64"/>
      </top>
      <bottom style="thin">
        <color indexed="64"/>
      </bottom>
      <diagonal/>
    </border>
    <border>
      <left style="thin">
        <color indexed="64"/>
      </left>
      <right style="thick">
        <color theme="2"/>
      </right>
      <top style="thin">
        <color indexed="64"/>
      </top>
      <bottom style="thick">
        <color theme="2"/>
      </bottom>
      <diagonal/>
    </border>
    <border>
      <left/>
      <right style="thick">
        <color theme="2"/>
      </right>
      <top/>
      <bottom/>
      <diagonal/>
    </border>
  </borders>
  <cellStyleXfs count="6">
    <xf numFmtId="0" fontId="0" fillId="0" borderId="0"/>
    <xf numFmtId="164" fontId="3" fillId="0" borderId="0" applyFont="0" applyFill="0" applyBorder="0" applyAlignment="0" applyProtection="0"/>
    <xf numFmtId="0" fontId="10" fillId="0" borderId="0"/>
    <xf numFmtId="0" fontId="19" fillId="0" borderId="0"/>
    <xf numFmtId="9" fontId="19" fillId="0" borderId="0" applyFont="0" applyFill="0" applyBorder="0" applyAlignment="0" applyProtection="0"/>
    <xf numFmtId="9" fontId="3" fillId="0" borderId="0" applyFont="0" applyFill="0" applyBorder="0" applyAlignment="0" applyProtection="0"/>
  </cellStyleXfs>
  <cellXfs count="446">
    <xf numFmtId="0" fontId="0" fillId="0" borderId="0" xfId="0"/>
    <xf numFmtId="165" fontId="5" fillId="0" borderId="2" xfId="1" applyNumberFormat="1" applyFont="1" applyBorder="1" applyAlignment="1">
      <alignment horizontal="center" wrapText="1"/>
    </xf>
    <xf numFmtId="165" fontId="5" fillId="0" borderId="3" xfId="1" applyNumberFormat="1" applyFont="1" applyBorder="1" applyAlignment="1">
      <alignment horizontal="center" wrapText="1"/>
    </xf>
    <xf numFmtId="165" fontId="5" fillId="0" borderId="6" xfId="1" applyNumberFormat="1" applyFont="1" applyBorder="1" applyAlignment="1">
      <alignment horizontal="center" wrapText="1"/>
    </xf>
    <xf numFmtId="165" fontId="5" fillId="0" borderId="7" xfId="1" applyNumberFormat="1" applyFont="1" applyBorder="1" applyAlignment="1">
      <alignment horizontal="center" wrapText="1"/>
    </xf>
    <xf numFmtId="165" fontId="5" fillId="0" borderId="9" xfId="1" applyNumberFormat="1" applyFont="1" applyBorder="1" applyAlignment="1">
      <alignment horizontal="center"/>
    </xf>
    <xf numFmtId="165" fontId="5" fillId="0" borderId="10" xfId="1" applyNumberFormat="1"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left"/>
    </xf>
    <xf numFmtId="0" fontId="4" fillId="0" borderId="13" xfId="0" applyFont="1" applyBorder="1" applyAlignment="1">
      <alignment horizontal="left"/>
    </xf>
    <xf numFmtId="0" fontId="4" fillId="0" borderId="14" xfId="0" applyFont="1" applyBorder="1" applyAlignment="1">
      <alignment horizontal="right"/>
    </xf>
    <xf numFmtId="49" fontId="4" fillId="0" borderId="15" xfId="0" applyNumberFormat="1" applyFont="1" applyBorder="1" applyAlignment="1">
      <alignment horizontal="center" vertical="center"/>
    </xf>
    <xf numFmtId="0" fontId="4" fillId="0" borderId="15" xfId="0" applyFont="1" applyBorder="1" applyAlignment="1">
      <alignment horizontal="center"/>
    </xf>
    <xf numFmtId="166" fontId="7" fillId="0" borderId="16" xfId="0" applyNumberFormat="1" applyFont="1" applyBorder="1" applyAlignment="1">
      <alignment vertical="center"/>
    </xf>
    <xf numFmtId="166" fontId="7" fillId="0" borderId="17" xfId="0" applyNumberFormat="1" applyFont="1" applyBorder="1" applyAlignment="1">
      <alignment vertical="center"/>
    </xf>
    <xf numFmtId="0" fontId="4" fillId="0" borderId="18" xfId="0" applyFont="1" applyBorder="1" applyAlignment="1">
      <alignment horizontal="center"/>
    </xf>
    <xf numFmtId="0" fontId="4" fillId="0" borderId="19" xfId="0" applyFont="1" applyBorder="1" applyAlignment="1">
      <alignment horizontal="left"/>
    </xf>
    <xf numFmtId="0" fontId="4" fillId="0" borderId="20" xfId="0" applyFont="1" applyBorder="1" applyAlignment="1">
      <alignment horizontal="left"/>
    </xf>
    <xf numFmtId="0" fontId="4" fillId="0" borderId="21" xfId="0" applyFont="1" applyBorder="1" applyAlignment="1">
      <alignment horizontal="left"/>
    </xf>
    <xf numFmtId="0" fontId="4" fillId="0" borderId="22" xfId="0" applyFont="1" applyBorder="1" applyAlignment="1">
      <alignment horizontal="center" vertical="top"/>
    </xf>
    <xf numFmtId="0" fontId="4" fillId="0" borderId="22" xfId="0" applyFont="1" applyBorder="1" applyAlignment="1">
      <alignment horizontal="center"/>
    </xf>
    <xf numFmtId="166" fontId="7" fillId="0" borderId="23" xfId="0" applyNumberFormat="1" applyFont="1" applyBorder="1" applyAlignment="1">
      <alignment vertical="center"/>
    </xf>
    <xf numFmtId="0" fontId="4" fillId="0" borderId="24" xfId="0" applyFont="1" applyBorder="1" applyAlignment="1">
      <alignment horizontal="center"/>
    </xf>
    <xf numFmtId="49" fontId="4" fillId="0" borderId="25" xfId="0" applyNumberFormat="1" applyFont="1" applyBorder="1" applyAlignment="1">
      <alignment horizontal="left"/>
    </xf>
    <xf numFmtId="49" fontId="4" fillId="0" borderId="26" xfId="0" applyNumberFormat="1" applyFont="1" applyBorder="1" applyAlignment="1">
      <alignment horizontal="left"/>
    </xf>
    <xf numFmtId="49" fontId="4" fillId="0" borderId="27" xfId="0" applyNumberFormat="1" applyFont="1" applyBorder="1" applyAlignment="1">
      <alignment horizontal="left"/>
    </xf>
    <xf numFmtId="49" fontId="4" fillId="0" borderId="28" xfId="0" applyNumberFormat="1" applyFont="1" applyBorder="1" applyAlignment="1">
      <alignment horizontal="center" vertical="top"/>
    </xf>
    <xf numFmtId="0" fontId="4" fillId="0" borderId="28" xfId="0" applyFont="1" applyBorder="1" applyAlignment="1">
      <alignment horizontal="center"/>
    </xf>
    <xf numFmtId="0" fontId="5" fillId="2" borderId="29" xfId="0" applyFont="1" applyFill="1" applyBorder="1" applyAlignment="1">
      <alignment horizontal="center"/>
    </xf>
    <xf numFmtId="0" fontId="5" fillId="2" borderId="30" xfId="0" applyFont="1" applyFill="1" applyBorder="1" applyAlignment="1">
      <alignment horizontal="left"/>
    </xf>
    <xf numFmtId="0" fontId="5" fillId="2" borderId="31" xfId="0" applyFont="1" applyFill="1" applyBorder="1" applyAlignment="1">
      <alignment horizontal="left"/>
    </xf>
    <xf numFmtId="0" fontId="5" fillId="2" borderId="32" xfId="0" applyFont="1" applyFill="1" applyBorder="1" applyAlignment="1">
      <alignment horizontal="left"/>
    </xf>
    <xf numFmtId="0" fontId="5" fillId="2" borderId="9" xfId="0" applyFont="1" applyFill="1" applyBorder="1" applyAlignment="1">
      <alignment horizontal="center" vertical="top"/>
    </xf>
    <xf numFmtId="0" fontId="5" fillId="2" borderId="9" xfId="0" applyFont="1" applyFill="1" applyBorder="1" applyAlignment="1">
      <alignment horizontal="center"/>
    </xf>
    <xf numFmtId="166" fontId="8" fillId="2" borderId="9" xfId="0" applyNumberFormat="1" applyFont="1" applyFill="1" applyBorder="1" applyAlignment="1">
      <alignment vertical="center"/>
    </xf>
    <xf numFmtId="166" fontId="8" fillId="2" borderId="10" xfId="0" applyNumberFormat="1" applyFont="1" applyFill="1" applyBorder="1" applyAlignment="1">
      <alignment vertical="center"/>
    </xf>
    <xf numFmtId="0" fontId="4" fillId="0" borderId="33" xfId="0" applyFont="1" applyBorder="1" applyAlignment="1">
      <alignment horizontal="right"/>
    </xf>
    <xf numFmtId="49" fontId="4" fillId="0" borderId="15" xfId="0" applyNumberFormat="1" applyFont="1" applyBorder="1" applyAlignment="1">
      <alignment horizontal="center" vertical="top"/>
    </xf>
    <xf numFmtId="0" fontId="4" fillId="0" borderId="21" xfId="0" applyFont="1" applyBorder="1" applyAlignment="1">
      <alignment horizontal="right"/>
    </xf>
    <xf numFmtId="49" fontId="4" fillId="0" borderId="22" xfId="0" applyNumberFormat="1" applyFont="1" applyBorder="1" applyAlignment="1">
      <alignment horizontal="center" vertical="top"/>
    </xf>
    <xf numFmtId="0" fontId="4" fillId="0" borderId="25" xfId="0" applyFont="1" applyBorder="1" applyAlignment="1">
      <alignment horizontal="left"/>
    </xf>
    <xf numFmtId="0" fontId="4" fillId="0" borderId="26" xfId="0" applyFont="1" applyBorder="1" applyAlignment="1">
      <alignment horizontal="left"/>
    </xf>
    <xf numFmtId="0" fontId="4" fillId="0" borderId="34" xfId="0" applyFont="1" applyBorder="1" applyAlignment="1">
      <alignment horizontal="right"/>
    </xf>
    <xf numFmtId="0" fontId="4" fillId="0" borderId="14" xfId="0" applyFont="1" applyBorder="1" applyAlignment="1">
      <alignment horizontal="left"/>
    </xf>
    <xf numFmtId="0" fontId="9" fillId="0" borderId="19" xfId="0" applyFont="1" applyBorder="1" applyAlignment="1">
      <alignment horizontal="left"/>
    </xf>
    <xf numFmtId="0" fontId="9" fillId="0" borderId="20" xfId="0" applyFont="1" applyBorder="1" applyAlignment="1">
      <alignment horizontal="left"/>
    </xf>
    <xf numFmtId="0" fontId="9" fillId="0" borderId="21" xfId="0" applyFont="1" applyBorder="1" applyAlignment="1">
      <alignment horizontal="left"/>
    </xf>
    <xf numFmtId="49" fontId="4" fillId="0" borderId="19" xfId="0" applyNumberFormat="1" applyFont="1" applyBorder="1" applyAlignment="1">
      <alignment horizontal="left"/>
    </xf>
    <xf numFmtId="49" fontId="4" fillId="0" borderId="20" xfId="0" applyNumberFormat="1" applyFont="1" applyBorder="1" applyAlignment="1">
      <alignment horizontal="left"/>
    </xf>
    <xf numFmtId="49" fontId="4" fillId="0" borderId="21" xfId="0" applyNumberFormat="1" applyFont="1" applyBorder="1" applyAlignment="1">
      <alignment horizontal="left"/>
    </xf>
    <xf numFmtId="2" fontId="4" fillId="0" borderId="22" xfId="0" applyNumberFormat="1" applyFont="1" applyBorder="1" applyAlignment="1">
      <alignment horizontal="center" vertical="top"/>
    </xf>
    <xf numFmtId="0" fontId="4" fillId="0" borderId="27" xfId="0" applyFont="1" applyBorder="1" applyAlignment="1">
      <alignment horizontal="left"/>
    </xf>
    <xf numFmtId="0" fontId="4" fillId="0" borderId="28" xfId="0" applyFont="1" applyBorder="1" applyAlignment="1">
      <alignment horizontal="center" vertical="top"/>
    </xf>
    <xf numFmtId="0" fontId="4" fillId="0" borderId="29" xfId="0" applyFont="1" applyBorder="1" applyAlignment="1">
      <alignment horizontal="center"/>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9" xfId="0" applyFont="1" applyBorder="1" applyAlignment="1">
      <alignment horizontal="center" vertical="top"/>
    </xf>
    <xf numFmtId="0" fontId="4" fillId="0" borderId="9" xfId="0" applyFont="1" applyBorder="1" applyAlignment="1">
      <alignment horizontal="center"/>
    </xf>
    <xf numFmtId="0" fontId="5" fillId="2" borderId="29" xfId="0" applyFont="1" applyFill="1" applyBorder="1" applyAlignment="1">
      <alignment horizontal="left"/>
    </xf>
    <xf numFmtId="0" fontId="5" fillId="2" borderId="9" xfId="0" applyFont="1" applyFill="1" applyBorder="1" applyAlignment="1">
      <alignment horizontal="left" vertical="top"/>
    </xf>
    <xf numFmtId="0" fontId="5" fillId="2" borderId="9" xfId="0" applyFont="1" applyFill="1" applyBorder="1" applyAlignment="1">
      <alignment horizontal="left"/>
    </xf>
    <xf numFmtId="166" fontId="7" fillId="0" borderId="35" xfId="0" applyNumberFormat="1" applyFont="1" applyBorder="1" applyAlignment="1">
      <alignment vertical="center"/>
    </xf>
    <xf numFmtId="166" fontId="7" fillId="0" borderId="36" xfId="0" applyNumberFormat="1" applyFont="1" applyBorder="1" applyAlignment="1">
      <alignment vertical="center"/>
    </xf>
    <xf numFmtId="0" fontId="4" fillId="0" borderId="15" xfId="0" applyFont="1" applyBorder="1" applyAlignment="1">
      <alignment horizontal="center" vertical="top"/>
    </xf>
    <xf numFmtId="166" fontId="7" fillId="0" borderId="37" xfId="0" applyNumberFormat="1" applyFont="1" applyBorder="1" applyAlignment="1">
      <alignment vertical="center"/>
    </xf>
    <xf numFmtId="166" fontId="7" fillId="0" borderId="38" xfId="0" applyNumberFormat="1" applyFont="1" applyBorder="1" applyAlignment="1">
      <alignment vertical="center"/>
    </xf>
    <xf numFmtId="0" fontId="5" fillId="2" borderId="39" xfId="0" applyFont="1" applyFill="1" applyBorder="1" applyAlignment="1">
      <alignment horizontal="left"/>
    </xf>
    <xf numFmtId="0" fontId="5" fillId="2" borderId="40" xfId="0" applyFont="1" applyFill="1" applyBorder="1" applyAlignment="1">
      <alignment horizontal="left"/>
    </xf>
    <xf numFmtId="0" fontId="5" fillId="2" borderId="41" xfId="0" applyFont="1" applyFill="1" applyBorder="1" applyAlignment="1">
      <alignment horizontal="left"/>
    </xf>
    <xf numFmtId="0" fontId="5" fillId="2" borderId="42" xfId="0" applyFont="1" applyFill="1" applyBorder="1" applyAlignment="1">
      <alignment horizontal="left"/>
    </xf>
    <xf numFmtId="0" fontId="5" fillId="2" borderId="43" xfId="0" applyFont="1" applyFill="1" applyBorder="1" applyAlignment="1">
      <alignment horizontal="left" vertical="top"/>
    </xf>
    <xf numFmtId="0" fontId="5" fillId="2" borderId="43" xfId="0" applyFont="1" applyFill="1" applyBorder="1" applyAlignment="1">
      <alignment horizontal="left"/>
    </xf>
    <xf numFmtId="166" fontId="8" fillId="2" borderId="43" xfId="0" applyNumberFormat="1" applyFont="1" applyFill="1" applyBorder="1" applyAlignment="1">
      <alignment vertical="center"/>
    </xf>
    <xf numFmtId="166" fontId="8" fillId="2" borderId="44" xfId="0" applyNumberFormat="1" applyFont="1" applyFill="1" applyBorder="1" applyAlignment="1">
      <alignment vertical="center"/>
    </xf>
    <xf numFmtId="0" fontId="11" fillId="4" borderId="48" xfId="2" applyFont="1" applyFill="1" applyBorder="1"/>
    <xf numFmtId="0" fontId="11" fillId="0" borderId="49" xfId="2" applyFont="1" applyBorder="1"/>
    <xf numFmtId="0" fontId="11" fillId="0" borderId="49" xfId="2" applyFont="1" applyBorder="1" applyAlignment="1">
      <alignment horizontal="center"/>
    </xf>
    <xf numFmtId="3" fontId="12" fillId="0" borderId="54" xfId="2" applyNumberFormat="1" applyFont="1" applyBorder="1"/>
    <xf numFmtId="3" fontId="12" fillId="0" borderId="55" xfId="2" applyNumberFormat="1" applyFont="1" applyBorder="1"/>
    <xf numFmtId="0" fontId="11" fillId="0" borderId="48" xfId="2" applyFont="1" applyBorder="1"/>
    <xf numFmtId="3" fontId="12" fillId="0" borderId="56" xfId="2" applyNumberFormat="1" applyFont="1" applyBorder="1"/>
    <xf numFmtId="3" fontId="12" fillId="0" borderId="57" xfId="2" applyNumberFormat="1" applyFont="1" applyBorder="1"/>
    <xf numFmtId="3" fontId="13" fillId="0" borderId="56" xfId="2" applyNumberFormat="1" applyFont="1" applyBorder="1"/>
    <xf numFmtId="0" fontId="11" fillId="0" borderId="49" xfId="2" applyFont="1" applyBorder="1" applyAlignment="1">
      <alignment wrapText="1"/>
    </xf>
    <xf numFmtId="3" fontId="12" fillId="5" borderId="56" xfId="2" applyNumberFormat="1" applyFont="1" applyFill="1" applyBorder="1"/>
    <xf numFmtId="3" fontId="12" fillId="0" borderId="58" xfId="2" applyNumberFormat="1" applyFont="1" applyBorder="1"/>
    <xf numFmtId="3" fontId="12" fillId="0" borderId="59" xfId="2" applyNumberFormat="1" applyFont="1" applyBorder="1"/>
    <xf numFmtId="0" fontId="14" fillId="4" borderId="60" xfId="2" applyFont="1" applyFill="1" applyBorder="1" applyAlignment="1">
      <alignment wrapText="1"/>
    </xf>
    <xf numFmtId="0" fontId="14" fillId="4" borderId="60" xfId="2" applyFont="1" applyFill="1" applyBorder="1" applyAlignment="1">
      <alignment horizontal="center"/>
    </xf>
    <xf numFmtId="3" fontId="15" fillId="4" borderId="60" xfId="2" applyNumberFormat="1" applyFont="1" applyFill="1" applyBorder="1"/>
    <xf numFmtId="3" fontId="15" fillId="4" borderId="61" xfId="2" applyNumberFormat="1" applyFont="1" applyFill="1" applyBorder="1"/>
    <xf numFmtId="0" fontId="14" fillId="4" borderId="60" xfId="2" applyFont="1" applyFill="1" applyBorder="1"/>
    <xf numFmtId="3" fontId="12" fillId="0" borderId="56" xfId="2" applyNumberFormat="1" applyFont="1" applyFill="1" applyBorder="1"/>
    <xf numFmtId="0" fontId="11" fillId="0" borderId="62" xfId="2" applyFont="1" applyBorder="1"/>
    <xf numFmtId="0" fontId="11" fillId="4" borderId="48" xfId="2" applyFont="1" applyFill="1" applyBorder="1" applyAlignment="1">
      <alignment vertical="center"/>
    </xf>
    <xf numFmtId="0" fontId="11" fillId="0" borderId="49" xfId="2" applyFont="1" applyBorder="1" applyAlignment="1">
      <alignment vertical="center" wrapText="1"/>
    </xf>
    <xf numFmtId="0" fontId="11" fillId="0" borderId="49" xfId="2" applyFont="1" applyBorder="1" applyAlignment="1">
      <alignment horizontal="center" vertical="center"/>
    </xf>
    <xf numFmtId="3" fontId="12" fillId="0" borderId="49" xfId="2" applyNumberFormat="1" applyFont="1" applyBorder="1"/>
    <xf numFmtId="3" fontId="12" fillId="0" borderId="50" xfId="2" applyNumberFormat="1" applyFont="1" applyBorder="1"/>
    <xf numFmtId="0" fontId="11" fillId="0" borderId="48" xfId="2" applyFont="1" applyBorder="1" applyAlignment="1">
      <alignment vertical="center"/>
    </xf>
    <xf numFmtId="0" fontId="11" fillId="0" borderId="62" xfId="2" applyFont="1" applyBorder="1" applyAlignment="1">
      <alignment horizontal="center" vertical="center"/>
    </xf>
    <xf numFmtId="0" fontId="11" fillId="4" borderId="63" xfId="2" applyFont="1" applyFill="1" applyBorder="1" applyAlignment="1">
      <alignment vertical="center"/>
    </xf>
    <xf numFmtId="0" fontId="14" fillId="4" borderId="64" xfId="2" applyFont="1" applyFill="1" applyBorder="1" applyAlignment="1">
      <alignment horizontal="center"/>
    </xf>
    <xf numFmtId="3" fontId="15" fillId="4" borderId="65" xfId="2" applyNumberFormat="1" applyFont="1" applyFill="1" applyBorder="1"/>
    <xf numFmtId="0" fontId="16" fillId="0" borderId="0" xfId="0" applyFont="1"/>
    <xf numFmtId="3" fontId="17" fillId="0" borderId="0" xfId="0" applyNumberFormat="1" applyFont="1"/>
    <xf numFmtId="0" fontId="11" fillId="3" borderId="69" xfId="2" applyFont="1" applyFill="1" applyBorder="1" applyAlignment="1">
      <alignment horizontal="center" vertical="center"/>
    </xf>
    <xf numFmtId="0" fontId="11" fillId="0" borderId="67" xfId="2" applyFont="1" applyBorder="1" applyAlignment="1">
      <alignment horizontal="center"/>
    </xf>
    <xf numFmtId="0" fontId="11" fillId="3" borderId="73" xfId="2" applyFont="1" applyFill="1" applyBorder="1" applyAlignment="1">
      <alignment horizontal="center" vertical="center"/>
    </xf>
    <xf numFmtId="0" fontId="11" fillId="0" borderId="74" xfId="2" applyFont="1" applyBorder="1" applyAlignment="1">
      <alignment horizontal="center"/>
    </xf>
    <xf numFmtId="0" fontId="11" fillId="0" borderId="75" xfId="2" applyFont="1" applyBorder="1" applyAlignment="1">
      <alignment horizontal="center" vertical="center"/>
    </xf>
    <xf numFmtId="0" fontId="11" fillId="6" borderId="76" xfId="2" applyFont="1" applyFill="1" applyBorder="1" applyAlignment="1">
      <alignment horizontal="center"/>
    </xf>
    <xf numFmtId="0" fontId="14" fillId="6" borderId="77" xfId="2" applyFont="1" applyFill="1" applyBorder="1" applyAlignment="1">
      <alignment horizontal="center" vertical="center"/>
    </xf>
    <xf numFmtId="0" fontId="14" fillId="6" borderId="78" xfId="2" applyFont="1" applyFill="1" applyBorder="1" applyAlignment="1">
      <alignment horizontal="center" vertical="center"/>
    </xf>
    <xf numFmtId="0" fontId="14" fillId="6" borderId="79" xfId="2" applyFont="1" applyFill="1" applyBorder="1" applyAlignment="1">
      <alignment horizontal="center" vertical="center"/>
    </xf>
    <xf numFmtId="0" fontId="11" fillId="6" borderId="77" xfId="2" applyFont="1" applyFill="1" applyBorder="1" applyAlignment="1">
      <alignment horizontal="center"/>
    </xf>
    <xf numFmtId="3" fontId="15" fillId="7" borderId="77" xfId="2" applyNumberFormat="1" applyFont="1" applyFill="1" applyBorder="1"/>
    <xf numFmtId="0" fontId="11" fillId="0" borderId="81" xfId="2" applyFont="1" applyFill="1" applyBorder="1" applyAlignment="1">
      <alignment horizontal="left" vertical="center"/>
    </xf>
    <xf numFmtId="0" fontId="11" fillId="0" borderId="82" xfId="2" applyFont="1" applyFill="1" applyBorder="1" applyAlignment="1">
      <alignment horizontal="left" vertical="center"/>
    </xf>
    <xf numFmtId="0" fontId="11" fillId="0" borderId="75" xfId="2" applyFont="1" applyFill="1" applyBorder="1" applyAlignment="1">
      <alignment horizontal="left" vertical="center"/>
    </xf>
    <xf numFmtId="3" fontId="12" fillId="0" borderId="83" xfId="2" applyNumberFormat="1" applyFont="1" applyBorder="1"/>
    <xf numFmtId="0" fontId="11" fillId="3" borderId="84" xfId="2" applyFont="1" applyFill="1" applyBorder="1" applyAlignment="1">
      <alignment horizontal="center"/>
    </xf>
    <xf numFmtId="0" fontId="11" fillId="3" borderId="71" xfId="2" applyFont="1" applyFill="1" applyBorder="1"/>
    <xf numFmtId="0" fontId="11" fillId="3" borderId="72" xfId="2" applyFont="1" applyFill="1" applyBorder="1"/>
    <xf numFmtId="0" fontId="11" fillId="3" borderId="73" xfId="2" applyFont="1" applyFill="1" applyBorder="1"/>
    <xf numFmtId="0" fontId="11" fillId="3" borderId="71" xfId="2" applyFont="1" applyFill="1" applyBorder="1" applyAlignment="1">
      <alignment horizontal="center"/>
    </xf>
    <xf numFmtId="3" fontId="12" fillId="0" borderId="85" xfId="2" applyNumberFormat="1" applyFont="1" applyBorder="1"/>
    <xf numFmtId="0" fontId="11" fillId="3" borderId="86" xfId="2" applyFont="1" applyFill="1" applyBorder="1" applyAlignment="1">
      <alignment horizontal="center"/>
    </xf>
    <xf numFmtId="0" fontId="11" fillId="3" borderId="74" xfId="2" applyFont="1" applyFill="1" applyBorder="1"/>
    <xf numFmtId="0" fontId="11" fillId="3" borderId="87" xfId="2" applyFont="1" applyFill="1" applyBorder="1"/>
    <xf numFmtId="0" fontId="11" fillId="3" borderId="88" xfId="2" applyFont="1" applyFill="1" applyBorder="1"/>
    <xf numFmtId="0" fontId="11" fillId="3" borderId="74" xfId="2" applyFont="1" applyFill="1" applyBorder="1" applyAlignment="1">
      <alignment horizontal="center"/>
    </xf>
    <xf numFmtId="3" fontId="12" fillId="0" borderId="89" xfId="2" applyNumberFormat="1" applyFont="1" applyBorder="1"/>
    <xf numFmtId="3" fontId="12" fillId="0" borderId="90" xfId="2" applyNumberFormat="1" applyFont="1" applyBorder="1"/>
    <xf numFmtId="0" fontId="11" fillId="6" borderId="70" xfId="2" applyFont="1" applyFill="1" applyBorder="1" applyAlignment="1">
      <alignment horizontal="center"/>
    </xf>
    <xf numFmtId="0" fontId="14" fillId="6" borderId="77" xfId="2" applyFont="1" applyFill="1" applyBorder="1"/>
    <xf numFmtId="0" fontId="14" fillId="6" borderId="78" xfId="2" applyFont="1" applyFill="1" applyBorder="1"/>
    <xf numFmtId="0" fontId="14" fillId="6" borderId="79" xfId="2" applyFont="1" applyFill="1" applyBorder="1"/>
    <xf numFmtId="0" fontId="11" fillId="6" borderId="77" xfId="2" applyFont="1" applyFill="1" applyBorder="1" applyAlignment="1">
      <alignment horizontal="center" vertical="center"/>
    </xf>
    <xf numFmtId="0" fontId="11" fillId="0" borderId="81" xfId="2" applyFont="1" applyFill="1" applyBorder="1" applyAlignment="1">
      <alignment wrapText="1"/>
    </xf>
    <xf numFmtId="0" fontId="14" fillId="0" borderId="91" xfId="2" applyFont="1" applyFill="1" applyBorder="1"/>
    <xf numFmtId="0" fontId="14" fillId="0" borderId="82" xfId="2" applyFont="1" applyFill="1" applyBorder="1"/>
    <xf numFmtId="0" fontId="11" fillId="0" borderId="75" xfId="2" applyFont="1" applyFill="1" applyBorder="1" applyAlignment="1">
      <alignment horizontal="center" vertical="center"/>
    </xf>
    <xf numFmtId="3" fontId="12" fillId="0" borderId="75" xfId="2" applyNumberFormat="1" applyFont="1" applyFill="1" applyBorder="1"/>
    <xf numFmtId="3" fontId="12" fillId="0" borderId="92" xfId="2" applyNumberFormat="1" applyFont="1" applyFill="1" applyBorder="1"/>
    <xf numFmtId="0" fontId="11" fillId="3" borderId="72" xfId="2" applyFont="1" applyFill="1" applyBorder="1" applyAlignment="1">
      <alignment wrapText="1"/>
    </xf>
    <xf numFmtId="0" fontId="11" fillId="3" borderId="93" xfId="2" applyFont="1" applyFill="1" applyBorder="1"/>
    <xf numFmtId="0" fontId="11" fillId="3" borderId="94" xfId="2" applyFont="1" applyFill="1" applyBorder="1"/>
    <xf numFmtId="3" fontId="12" fillId="0" borderId="95" xfId="2" applyNumberFormat="1" applyFont="1" applyBorder="1"/>
    <xf numFmtId="3" fontId="12" fillId="0" borderId="96" xfId="2" applyNumberFormat="1" applyFont="1" applyBorder="1"/>
    <xf numFmtId="0" fontId="11" fillId="3" borderId="72" xfId="2" applyFont="1" applyFill="1" applyBorder="1" applyAlignment="1">
      <alignment horizontal="left" wrapText="1"/>
    </xf>
    <xf numFmtId="0" fontId="11" fillId="3" borderId="97" xfId="2" applyFont="1" applyFill="1" applyBorder="1"/>
    <xf numFmtId="0" fontId="11" fillId="3" borderId="98" xfId="2" applyFont="1" applyFill="1" applyBorder="1"/>
    <xf numFmtId="3" fontId="12" fillId="0" borderId="99" xfId="2" applyNumberFormat="1" applyFont="1" applyBorder="1"/>
    <xf numFmtId="3" fontId="12" fillId="0" borderId="100" xfId="2" applyNumberFormat="1" applyFont="1" applyBorder="1"/>
    <xf numFmtId="0" fontId="11" fillId="3" borderId="101" xfId="2" applyFont="1" applyFill="1" applyBorder="1"/>
    <xf numFmtId="0" fontId="11" fillId="3" borderId="70" xfId="2" applyFont="1" applyFill="1" applyBorder="1" applyAlignment="1">
      <alignment horizontal="center"/>
    </xf>
    <xf numFmtId="3" fontId="12" fillId="0" borderId="102" xfId="2" applyNumberFormat="1" applyFont="1" applyBorder="1"/>
    <xf numFmtId="0" fontId="11" fillId="3" borderId="103" xfId="2" applyFont="1" applyFill="1" applyBorder="1" applyAlignment="1">
      <alignment horizontal="left"/>
    </xf>
    <xf numFmtId="0" fontId="11" fillId="3" borderId="104" xfId="2" applyFont="1" applyFill="1" applyBorder="1" applyAlignment="1">
      <alignment horizontal="left"/>
    </xf>
    <xf numFmtId="0" fontId="11" fillId="3" borderId="73" xfId="2" applyFont="1" applyFill="1" applyBorder="1" applyAlignment="1">
      <alignment horizontal="left"/>
    </xf>
    <xf numFmtId="0" fontId="11" fillId="8" borderId="70" xfId="2" applyFont="1" applyFill="1" applyBorder="1" applyAlignment="1">
      <alignment horizontal="center" vertical="center"/>
    </xf>
    <xf numFmtId="0" fontId="14" fillId="8" borderId="105" xfId="2" applyFont="1" applyFill="1" applyBorder="1" applyAlignment="1"/>
    <xf numFmtId="0" fontId="14" fillId="8" borderId="106" xfId="2" applyFont="1" applyFill="1" applyBorder="1" applyAlignment="1"/>
    <xf numFmtId="0" fontId="14" fillId="8" borderId="107" xfId="2" applyFont="1" applyFill="1" applyBorder="1" applyAlignment="1">
      <alignment horizontal="left" wrapText="1"/>
    </xf>
    <xf numFmtId="0" fontId="11" fillId="8" borderId="108" xfId="2" applyFont="1" applyFill="1" applyBorder="1" applyAlignment="1">
      <alignment horizontal="center" vertical="center"/>
    </xf>
    <xf numFmtId="3" fontId="15" fillId="4" borderId="108" xfId="2" applyNumberFormat="1" applyFont="1" applyFill="1" applyBorder="1" applyAlignment="1">
      <alignment vertical="center"/>
    </xf>
    <xf numFmtId="3" fontId="12" fillId="0" borderId="109" xfId="2" applyNumberFormat="1" applyFont="1" applyBorder="1"/>
    <xf numFmtId="3" fontId="15" fillId="7" borderId="71" xfId="2" applyNumberFormat="1" applyFont="1" applyFill="1" applyBorder="1"/>
    <xf numFmtId="0" fontId="11" fillId="3" borderId="75" xfId="2" applyFont="1" applyFill="1" applyBorder="1" applyAlignment="1">
      <alignment horizontal="left"/>
    </xf>
    <xf numFmtId="0" fontId="11" fillId="3" borderId="81" xfId="2" applyFont="1" applyFill="1" applyBorder="1" applyAlignment="1">
      <alignment horizontal="left"/>
    </xf>
    <xf numFmtId="0" fontId="11" fillId="3" borderId="82" xfId="2" applyFont="1" applyFill="1" applyBorder="1" applyAlignment="1">
      <alignment horizontal="left"/>
    </xf>
    <xf numFmtId="3" fontId="11" fillId="0" borderId="75" xfId="2" applyNumberFormat="1" applyFont="1" applyBorder="1"/>
    <xf numFmtId="3" fontId="12" fillId="0" borderId="75" xfId="2" applyNumberFormat="1" applyFont="1" applyBorder="1"/>
    <xf numFmtId="3" fontId="12" fillId="0" borderId="92" xfId="2" applyNumberFormat="1" applyFont="1" applyBorder="1"/>
    <xf numFmtId="3" fontId="12" fillId="0" borderId="110" xfId="2" applyNumberFormat="1" applyFont="1" applyBorder="1"/>
    <xf numFmtId="0" fontId="14" fillId="3" borderId="81" xfId="2" applyFont="1" applyFill="1" applyBorder="1"/>
    <xf numFmtId="0" fontId="14" fillId="3" borderId="91" xfId="2" applyFont="1" applyFill="1" applyBorder="1"/>
    <xf numFmtId="0" fontId="14" fillId="3" borderId="82" xfId="2" applyFont="1" applyFill="1" applyBorder="1"/>
    <xf numFmtId="0" fontId="11" fillId="3" borderId="75" xfId="2" applyFont="1" applyFill="1" applyBorder="1" applyAlignment="1">
      <alignment horizontal="center"/>
    </xf>
    <xf numFmtId="3" fontId="15" fillId="0" borderId="111" xfId="2" applyNumberFormat="1" applyFont="1" applyBorder="1"/>
    <xf numFmtId="3" fontId="15" fillId="0" borderId="112" xfId="2" applyNumberFormat="1" applyFont="1" applyBorder="1"/>
    <xf numFmtId="0" fontId="14" fillId="3" borderId="72" xfId="2" applyFont="1" applyFill="1" applyBorder="1"/>
    <xf numFmtId="0" fontId="14" fillId="3" borderId="0" xfId="2" applyFont="1" applyFill="1" applyBorder="1"/>
    <xf numFmtId="0" fontId="14" fillId="3" borderId="73" xfId="2" applyFont="1" applyFill="1" applyBorder="1"/>
    <xf numFmtId="3" fontId="15" fillId="0" borderId="99" xfId="2" applyNumberFormat="1" applyFont="1" applyBorder="1"/>
    <xf numFmtId="3" fontId="15" fillId="0" borderId="100" xfId="2" applyNumberFormat="1" applyFont="1" applyBorder="1"/>
    <xf numFmtId="0" fontId="14" fillId="3" borderId="71" xfId="2" applyFont="1" applyFill="1" applyBorder="1" applyAlignment="1">
      <alignment horizontal="center"/>
    </xf>
    <xf numFmtId="3" fontId="15" fillId="0" borderId="109" xfId="2" applyNumberFormat="1" applyFont="1" applyBorder="1"/>
    <xf numFmtId="0" fontId="11" fillId="3" borderId="0" xfId="2" applyFont="1" applyFill="1" applyBorder="1"/>
    <xf numFmtId="3" fontId="15" fillId="0" borderId="96" xfId="2" applyNumberFormat="1" applyFont="1" applyBorder="1"/>
    <xf numFmtId="3" fontId="15" fillId="0" borderId="85" xfId="2" applyNumberFormat="1" applyFont="1" applyBorder="1"/>
    <xf numFmtId="0" fontId="11" fillId="3" borderId="113" xfId="2" applyFont="1" applyFill="1" applyBorder="1"/>
    <xf numFmtId="3" fontId="12" fillId="0" borderId="114" xfId="2" applyNumberFormat="1" applyFont="1" applyBorder="1"/>
    <xf numFmtId="3" fontId="15" fillId="0" borderId="110" xfId="2" applyNumberFormat="1" applyFont="1" applyBorder="1"/>
    <xf numFmtId="3" fontId="15" fillId="7" borderId="74" xfId="2" applyNumberFormat="1" applyFont="1" applyFill="1" applyBorder="1"/>
    <xf numFmtId="0" fontId="11" fillId="8" borderId="72" xfId="2" applyFont="1" applyFill="1" applyBorder="1"/>
    <xf numFmtId="0" fontId="14" fillId="8" borderId="91" xfId="2" applyFont="1" applyFill="1" applyBorder="1"/>
    <xf numFmtId="0" fontId="14" fillId="8" borderId="73" xfId="2" applyFont="1" applyFill="1" applyBorder="1"/>
    <xf numFmtId="0" fontId="14" fillId="8" borderId="71" xfId="2" applyFont="1" applyFill="1" applyBorder="1" applyAlignment="1">
      <alignment horizontal="center"/>
    </xf>
    <xf numFmtId="0" fontId="14" fillId="8" borderId="0" xfId="2" applyFont="1" applyFill="1" applyBorder="1"/>
    <xf numFmtId="0" fontId="14" fillId="6" borderId="115" xfId="2" applyFont="1" applyFill="1" applyBorder="1"/>
    <xf numFmtId="0" fontId="11" fillId="3" borderId="81" xfId="2" applyFont="1" applyFill="1" applyBorder="1"/>
    <xf numFmtId="0" fontId="11" fillId="3" borderId="115" xfId="2" applyFont="1" applyFill="1" applyBorder="1"/>
    <xf numFmtId="0" fontId="11" fillId="3" borderId="82" xfId="2" applyFont="1" applyFill="1" applyBorder="1"/>
    <xf numFmtId="0" fontId="11" fillId="6" borderId="116" xfId="2" applyFont="1" applyFill="1" applyBorder="1" applyAlignment="1">
      <alignment horizontal="center" vertical="center"/>
    </xf>
    <xf numFmtId="0" fontId="14" fillId="6" borderId="117" xfId="2" applyFont="1" applyFill="1" applyBorder="1" applyAlignment="1">
      <alignment horizontal="left"/>
    </xf>
    <xf numFmtId="0" fontId="14" fillId="6" borderId="118" xfId="2" applyFont="1" applyFill="1" applyBorder="1" applyAlignment="1">
      <alignment horizontal="left"/>
    </xf>
    <xf numFmtId="0" fontId="14" fillId="6" borderId="119" xfId="2" applyFont="1" applyFill="1" applyBorder="1" applyAlignment="1">
      <alignment horizontal="left"/>
    </xf>
    <xf numFmtId="0" fontId="11" fillId="6" borderId="117" xfId="2" applyFont="1" applyFill="1" applyBorder="1" applyAlignment="1">
      <alignment horizontal="center" vertical="center"/>
    </xf>
    <xf numFmtId="3" fontId="15" fillId="7" borderId="117" xfId="2" applyNumberFormat="1" applyFont="1" applyFill="1" applyBorder="1"/>
    <xf numFmtId="0" fontId="11" fillId="0" borderId="80" xfId="2" applyFont="1" applyFill="1" applyBorder="1" applyAlignment="1">
      <alignment horizontal="center" vertical="center"/>
    </xf>
    <xf numFmtId="166" fontId="7" fillId="0" borderId="120" xfId="0" applyNumberFormat="1" applyFont="1" applyBorder="1" applyAlignment="1">
      <alignment vertical="center"/>
    </xf>
    <xf numFmtId="166" fontId="7" fillId="0" borderId="20" xfId="0" applyNumberFormat="1" applyFont="1" applyBorder="1" applyAlignment="1">
      <alignment vertical="center"/>
    </xf>
    <xf numFmtId="166" fontId="7" fillId="0" borderId="121" xfId="0" applyNumberFormat="1" applyFont="1" applyBorder="1" applyAlignment="1">
      <alignment vertical="center"/>
    </xf>
    <xf numFmtId="3" fontId="15" fillId="7" borderId="123" xfId="2" applyNumberFormat="1" applyFont="1" applyFill="1" applyBorder="1"/>
    <xf numFmtId="3" fontId="12" fillId="0" borderId="124" xfId="2" applyNumberFormat="1" applyFont="1" applyFill="1" applyBorder="1" applyAlignment="1">
      <alignment vertical="center"/>
    </xf>
    <xf numFmtId="3" fontId="12" fillId="0" borderId="125" xfId="2" applyNumberFormat="1" applyFont="1" applyBorder="1"/>
    <xf numFmtId="3" fontId="12" fillId="0" borderId="126" xfId="2" applyNumberFormat="1" applyFont="1" applyBorder="1"/>
    <xf numFmtId="3" fontId="12" fillId="0" borderId="127" xfId="2" applyNumberFormat="1" applyFont="1" applyFill="1" applyBorder="1"/>
    <xf numFmtId="3" fontId="12" fillId="0" borderId="128" xfId="2" applyNumberFormat="1" applyFont="1" applyBorder="1"/>
    <xf numFmtId="3" fontId="12" fillId="0" borderId="129" xfId="2" applyNumberFormat="1" applyFont="1" applyBorder="1"/>
    <xf numFmtId="3" fontId="12" fillId="0" borderId="130" xfId="2" applyNumberFormat="1" applyFont="1" applyBorder="1"/>
    <xf numFmtId="3" fontId="12" fillId="4" borderId="105" xfId="2" applyNumberFormat="1" applyFont="1" applyFill="1" applyBorder="1" applyAlignment="1">
      <alignment vertical="center"/>
    </xf>
    <xf numFmtId="3" fontId="12" fillId="0" borderId="127" xfId="2" applyNumberFormat="1" applyFont="1" applyBorder="1"/>
    <xf numFmtId="3" fontId="15" fillId="0" borderId="131" xfId="2" applyNumberFormat="1" applyFont="1" applyBorder="1"/>
    <xf numFmtId="3" fontId="15" fillId="0" borderId="129" xfId="2" applyNumberFormat="1" applyFont="1" applyBorder="1"/>
    <xf numFmtId="3" fontId="12" fillId="0" borderId="132" xfId="2" applyNumberFormat="1" applyFont="1" applyBorder="1"/>
    <xf numFmtId="3" fontId="15" fillId="7" borderId="133" xfId="2" applyNumberFormat="1" applyFont="1" applyFill="1" applyBorder="1"/>
    <xf numFmtId="0" fontId="21" fillId="0" borderId="0" xfId="0" applyFont="1"/>
    <xf numFmtId="3" fontId="0" fillId="0" borderId="0" xfId="0" applyNumberFormat="1" applyAlignment="1">
      <alignment horizontal="center" vertical="center"/>
    </xf>
    <xf numFmtId="0" fontId="18" fillId="0" borderId="0" xfId="0" applyFont="1" applyAlignment="1">
      <alignment vertical="center"/>
    </xf>
    <xf numFmtId="0" fontId="2" fillId="0" borderId="0" xfId="0" applyFont="1" applyAlignment="1">
      <alignment vertical="center"/>
    </xf>
    <xf numFmtId="0" fontId="0" fillId="0" borderId="0" xfId="0" applyFont="1" applyAlignment="1">
      <alignment vertical="center"/>
    </xf>
    <xf numFmtId="0" fontId="0" fillId="0" borderId="0" xfId="0" applyFont="1"/>
    <xf numFmtId="0" fontId="22" fillId="0" borderId="0" xfId="0" applyFont="1"/>
    <xf numFmtId="0" fontId="19" fillId="0" borderId="0" xfId="0" applyFont="1" applyAlignment="1"/>
    <xf numFmtId="0" fontId="0" fillId="0" borderId="0" xfId="0" applyAlignment="1"/>
    <xf numFmtId="0" fontId="19" fillId="0" borderId="0" xfId="0" applyFont="1" applyAlignment="1"/>
    <xf numFmtId="0" fontId="0" fillId="0" borderId="0" xfId="0" applyAlignment="1"/>
    <xf numFmtId="3" fontId="14" fillId="4" borderId="60" xfId="2" applyNumberFormat="1" applyFont="1" applyFill="1" applyBorder="1" applyAlignment="1">
      <alignment horizontal="center"/>
    </xf>
    <xf numFmtId="3" fontId="14" fillId="4" borderId="60" xfId="2" applyNumberFormat="1" applyFont="1" applyFill="1" applyBorder="1"/>
    <xf numFmtId="3" fontId="14" fillId="4" borderId="64" xfId="2" applyNumberFormat="1" applyFont="1" applyFill="1" applyBorder="1"/>
    <xf numFmtId="10" fontId="0" fillId="0" borderId="0" xfId="5" applyNumberFormat="1" applyFont="1" applyAlignment="1">
      <alignment horizontal="center" vertical="center"/>
    </xf>
    <xf numFmtId="0" fontId="23" fillId="0" borderId="0" xfId="0" applyFont="1"/>
    <xf numFmtId="0" fontId="24" fillId="0" borderId="0" xfId="0" applyFont="1"/>
    <xf numFmtId="3" fontId="0" fillId="0" borderId="0" xfId="0" applyNumberFormat="1" applyFill="1" applyAlignment="1">
      <alignment horizontal="center" vertical="center"/>
    </xf>
    <xf numFmtId="3" fontId="0" fillId="0" borderId="0" xfId="5" applyNumberFormat="1" applyFont="1" applyAlignment="1">
      <alignment horizontal="center" vertical="center"/>
    </xf>
    <xf numFmtId="49" fontId="0" fillId="0" borderId="0" xfId="0" applyNumberFormat="1"/>
    <xf numFmtId="0" fontId="0" fillId="0" borderId="0" xfId="0" applyNumberFormat="1"/>
    <xf numFmtId="2" fontId="0" fillId="0" borderId="0" xfId="0" applyNumberFormat="1"/>
    <xf numFmtId="1" fontId="4" fillId="0" borderId="15" xfId="0" applyNumberFormat="1" applyFont="1" applyBorder="1" applyAlignment="1">
      <alignment horizontal="center" vertical="center"/>
    </xf>
    <xf numFmtId="1" fontId="4" fillId="0" borderId="22" xfId="0" applyNumberFormat="1" applyFont="1" applyBorder="1" applyAlignment="1">
      <alignment horizontal="center" vertical="top"/>
    </xf>
    <xf numFmtId="1" fontId="4" fillId="0" borderId="28" xfId="0" applyNumberFormat="1" applyFont="1" applyBorder="1" applyAlignment="1">
      <alignment horizontal="center" vertical="top"/>
    </xf>
    <xf numFmtId="1" fontId="5" fillId="2" borderId="9" xfId="0" applyNumberFormat="1" applyFont="1" applyFill="1" applyBorder="1" applyAlignment="1">
      <alignment horizontal="center" vertical="top"/>
    </xf>
    <xf numFmtId="1" fontId="4" fillId="0" borderId="15" xfId="0" applyNumberFormat="1" applyFont="1" applyBorder="1" applyAlignment="1">
      <alignment horizontal="center" vertical="top"/>
    </xf>
    <xf numFmtId="1" fontId="4" fillId="0" borderId="9" xfId="0" applyNumberFormat="1" applyFont="1" applyBorder="1" applyAlignment="1">
      <alignment horizontal="center" vertical="top"/>
    </xf>
    <xf numFmtId="1" fontId="5" fillId="2" borderId="9" xfId="0" applyNumberFormat="1" applyFont="1" applyFill="1" applyBorder="1" applyAlignment="1">
      <alignment horizontal="left" vertical="top"/>
    </xf>
    <xf numFmtId="1" fontId="5" fillId="2" borderId="43" xfId="0" applyNumberFormat="1" applyFont="1" applyFill="1" applyBorder="1" applyAlignment="1">
      <alignment horizontal="left" vertical="top"/>
    </xf>
    <xf numFmtId="166" fontId="7" fillId="0" borderId="0" xfId="0" applyNumberFormat="1" applyFont="1" applyFill="1" applyBorder="1" applyAlignment="1">
      <alignment vertical="center"/>
    </xf>
    <xf numFmtId="9" fontId="15" fillId="7" borderId="122" xfId="5" applyFont="1" applyFill="1" applyBorder="1" applyAlignment="1">
      <alignment horizontal="center"/>
    </xf>
    <xf numFmtId="0" fontId="14" fillId="0" borderId="67" xfId="2" applyFont="1" applyBorder="1" applyAlignment="1">
      <alignment horizontal="center"/>
    </xf>
    <xf numFmtId="0" fontId="14" fillId="0" borderId="68" xfId="2" applyFont="1" applyBorder="1" applyAlignment="1">
      <alignment vertical="center"/>
    </xf>
    <xf numFmtId="0" fontId="22" fillId="0" borderId="122" xfId="0" applyFont="1" applyBorder="1"/>
    <xf numFmtId="0" fontId="14" fillId="0" borderId="74" xfId="2" applyFont="1" applyBorder="1" applyAlignment="1">
      <alignment horizontal="center"/>
    </xf>
    <xf numFmtId="0" fontId="14" fillId="0" borderId="122" xfId="2" applyFont="1" applyFill="1" applyBorder="1" applyAlignment="1">
      <alignment horizontal="center"/>
    </xf>
    <xf numFmtId="0" fontId="14" fillId="0" borderId="75" xfId="2" applyFont="1" applyBorder="1" applyAlignment="1">
      <alignment horizontal="center" vertical="center" wrapText="1"/>
    </xf>
    <xf numFmtId="0" fontId="14" fillId="0" borderId="72" xfId="2" applyFont="1" applyBorder="1" applyAlignment="1">
      <alignment horizontal="center" vertical="center"/>
    </xf>
    <xf numFmtId="0" fontId="22" fillId="0" borderId="122" xfId="0" applyFont="1" applyBorder="1" applyAlignment="1">
      <alignment horizontal="center" vertical="center"/>
    </xf>
    <xf numFmtId="0" fontId="14" fillId="0" borderId="46" xfId="2" applyFont="1" applyBorder="1" applyAlignment="1">
      <alignment horizontal="center" vertical="center" wrapText="1"/>
    </xf>
    <xf numFmtId="0" fontId="14" fillId="0" borderId="47" xfId="2" applyFont="1" applyBorder="1" applyAlignment="1">
      <alignment horizontal="center" vertical="center" wrapText="1"/>
    </xf>
    <xf numFmtId="14" fontId="14" fillId="0" borderId="49" xfId="2" applyNumberFormat="1" applyFont="1" applyBorder="1" applyAlignment="1">
      <alignment horizontal="center" wrapText="1"/>
    </xf>
    <xf numFmtId="14" fontId="14" fillId="0" borderId="50" xfId="2" applyNumberFormat="1" applyFont="1" applyBorder="1" applyAlignment="1">
      <alignment horizontal="center" wrapText="1"/>
    </xf>
    <xf numFmtId="0" fontId="14" fillId="0" borderId="52" xfId="2" applyFont="1" applyBorder="1" applyAlignment="1">
      <alignment horizontal="center" vertical="center"/>
    </xf>
    <xf numFmtId="0" fontId="14" fillId="0" borderId="53" xfId="2" applyFont="1" applyBorder="1" applyAlignment="1">
      <alignment horizontal="center" vertical="center"/>
    </xf>
    <xf numFmtId="10" fontId="0" fillId="0" borderId="0" xfId="5" applyNumberFormat="1" applyFont="1" applyAlignment="1">
      <alignment horizontal="center"/>
    </xf>
    <xf numFmtId="0" fontId="0" fillId="0" borderId="0" xfId="0" applyAlignment="1">
      <alignment horizontal="center"/>
    </xf>
    <xf numFmtId="9" fontId="0" fillId="0" borderId="0" xfId="5" applyFont="1" applyAlignment="1">
      <alignment horizontal="center"/>
    </xf>
    <xf numFmtId="1" fontId="0" fillId="0" borderId="0" xfId="0" applyNumberFormat="1" applyAlignment="1">
      <alignment horizontal="center"/>
    </xf>
    <xf numFmtId="0" fontId="22" fillId="0" borderId="0" xfId="0" applyFont="1" applyAlignment="1">
      <alignment horizontal="center" vertical="center"/>
    </xf>
    <xf numFmtId="3" fontId="22" fillId="0" borderId="0" xfId="0" applyNumberFormat="1" applyFont="1" applyAlignment="1">
      <alignment horizontal="center" vertical="center"/>
    </xf>
    <xf numFmtId="0" fontId="20" fillId="0" borderId="0" xfId="0" applyFont="1" applyAlignment="1"/>
    <xf numFmtId="0" fontId="20" fillId="0" borderId="0" xfId="0" applyFont="1" applyAlignment="1">
      <alignment wrapText="1"/>
    </xf>
    <xf numFmtId="0" fontId="0" fillId="0" borderId="0" xfId="0" applyAlignment="1">
      <alignment horizontal="center" vertical="center"/>
    </xf>
    <xf numFmtId="0" fontId="30" fillId="0" borderId="0" xfId="0" applyFont="1"/>
    <xf numFmtId="0" fontId="31" fillId="0" borderId="136" xfId="0" applyFont="1" applyBorder="1"/>
    <xf numFmtId="0" fontId="0" fillId="0" borderId="137" xfId="0" applyBorder="1"/>
    <xf numFmtId="0" fontId="0" fillId="0" borderId="138" xfId="0" applyBorder="1"/>
    <xf numFmtId="0" fontId="31" fillId="10" borderId="139" xfId="0" applyFont="1" applyFill="1" applyBorder="1"/>
    <xf numFmtId="0" fontId="31" fillId="10" borderId="140" xfId="0" applyFont="1" applyFill="1" applyBorder="1"/>
    <xf numFmtId="0" fontId="31" fillId="10" borderId="141" xfId="0" applyFont="1" applyFill="1" applyBorder="1"/>
    <xf numFmtId="0" fontId="31" fillId="10" borderId="142" xfId="0" applyFont="1" applyFill="1" applyBorder="1"/>
    <xf numFmtId="0" fontId="31" fillId="10" borderId="139" xfId="0" applyFont="1" applyFill="1" applyBorder="1" applyAlignment="1">
      <alignment horizontal="center"/>
    </xf>
    <xf numFmtId="0" fontId="31" fillId="0" borderId="0" xfId="0" applyFont="1"/>
    <xf numFmtId="0" fontId="31" fillId="10" borderId="143" xfId="0" applyFont="1" applyFill="1" applyBorder="1"/>
    <xf numFmtId="0" fontId="31" fillId="10" borderId="144" xfId="0" applyFont="1" applyFill="1" applyBorder="1"/>
    <xf numFmtId="0" fontId="31" fillId="10" borderId="134" xfId="0" applyFont="1" applyFill="1" applyBorder="1"/>
    <xf numFmtId="0" fontId="31" fillId="10" borderId="135" xfId="0" applyFont="1" applyFill="1" applyBorder="1"/>
    <xf numFmtId="0" fontId="31" fillId="10" borderId="143" xfId="0" applyFont="1" applyFill="1" applyBorder="1" applyAlignment="1">
      <alignment horizontal="center"/>
    </xf>
    <xf numFmtId="0" fontId="31" fillId="0" borderId="139" xfId="0" applyFont="1" applyBorder="1" applyAlignment="1">
      <alignment horizontal="center"/>
    </xf>
    <xf numFmtId="0" fontId="31" fillId="0" borderId="141" xfId="0" applyFont="1" applyBorder="1"/>
    <xf numFmtId="0" fontId="31" fillId="0" borderId="145" xfId="0" applyFont="1" applyBorder="1"/>
    <xf numFmtId="0" fontId="31" fillId="0" borderId="145" xfId="0" applyFont="1" applyBorder="1" applyAlignment="1">
      <alignment horizontal="right"/>
    </xf>
    <xf numFmtId="0" fontId="0" fillId="0" borderId="145" xfId="0" applyBorder="1"/>
    <xf numFmtId="2" fontId="0" fillId="0" borderId="145" xfId="0" applyNumberFormat="1" applyBorder="1" applyAlignment="1">
      <alignment horizontal="right"/>
    </xf>
    <xf numFmtId="0" fontId="0" fillId="0" borderId="134" xfId="0" applyBorder="1"/>
    <xf numFmtId="0" fontId="32" fillId="10" borderId="0" xfId="0" applyFont="1" applyFill="1"/>
    <xf numFmtId="0" fontId="0" fillId="10" borderId="0" xfId="0" applyFill="1"/>
    <xf numFmtId="2" fontId="0" fillId="10" borderId="0" xfId="0" applyNumberFormat="1" applyFill="1"/>
    <xf numFmtId="0" fontId="18" fillId="10" borderId="146" xfId="0" applyFont="1" applyFill="1" applyBorder="1" applyAlignment="1">
      <alignment horizontal="centerContinuous"/>
    </xf>
    <xf numFmtId="0" fontId="18" fillId="10" borderId="0" xfId="0" applyFont="1" applyFill="1" applyAlignment="1">
      <alignment horizontal="centerContinuous"/>
    </xf>
    <xf numFmtId="0" fontId="18" fillId="10" borderId="146" xfId="0" applyFont="1" applyFill="1" applyBorder="1"/>
    <xf numFmtId="0" fontId="18" fillId="10" borderId="0" xfId="0" applyFont="1" applyFill="1"/>
    <xf numFmtId="0" fontId="18" fillId="10" borderId="147" xfId="0" applyFont="1" applyFill="1" applyBorder="1" applyAlignment="1">
      <alignment horizontal="centerContinuous"/>
    </xf>
    <xf numFmtId="0" fontId="18" fillId="10" borderId="144" xfId="0" applyFont="1" applyFill="1" applyBorder="1"/>
    <xf numFmtId="0" fontId="18" fillId="10" borderId="134" xfId="0" applyFont="1" applyFill="1" applyBorder="1"/>
    <xf numFmtId="0" fontId="18" fillId="10" borderId="135" xfId="0" applyFont="1" applyFill="1" applyBorder="1"/>
    <xf numFmtId="0" fontId="0" fillId="0" borderId="146" xfId="0" applyBorder="1" applyAlignment="1">
      <alignment horizontal="centerContinuous"/>
    </xf>
    <xf numFmtId="0" fontId="0" fillId="0" borderId="0" xfId="0" applyAlignment="1">
      <alignment horizontal="centerContinuous"/>
    </xf>
    <xf numFmtId="0" fontId="0" fillId="0" borderId="146" xfId="0" quotePrefix="1" applyBorder="1" applyAlignment="1">
      <alignment horizontal="centerContinuous"/>
    </xf>
    <xf numFmtId="0" fontId="0" fillId="0" borderId="146" xfId="0" applyBorder="1"/>
    <xf numFmtId="0" fontId="0" fillId="0" borderId="147" xfId="0" applyBorder="1"/>
    <xf numFmtId="0" fontId="0" fillId="0" borderId="144" xfId="0" quotePrefix="1" applyBorder="1" applyAlignment="1">
      <alignment horizontal="centerContinuous"/>
    </xf>
    <xf numFmtId="0" fontId="0" fillId="0" borderId="134" xfId="0" applyBorder="1" applyAlignment="1">
      <alignment horizontal="centerContinuous"/>
    </xf>
    <xf numFmtId="0" fontId="0" fillId="0" borderId="144" xfId="0" applyBorder="1" applyAlignment="1">
      <alignment horizontal="centerContinuous"/>
    </xf>
    <xf numFmtId="0" fontId="0" fillId="0" borderId="144" xfId="0" applyBorder="1"/>
    <xf numFmtId="0" fontId="0" fillId="0" borderId="135" xfId="0" applyBorder="1"/>
    <xf numFmtId="0" fontId="33" fillId="0" borderId="0" xfId="0" applyFont="1" applyAlignment="1">
      <alignment vertical="top" wrapText="1"/>
    </xf>
    <xf numFmtId="0" fontId="34" fillId="0" borderId="0" xfId="0" applyFont="1" applyAlignment="1">
      <alignment horizontal="center" vertical="center" wrapText="1"/>
    </xf>
    <xf numFmtId="3" fontId="0" fillId="0" borderId="0" xfId="0" applyNumberFormat="1"/>
    <xf numFmtId="0" fontId="40" fillId="11" borderId="148" xfId="0" applyFont="1" applyFill="1" applyBorder="1" applyAlignment="1">
      <alignment horizontal="center" vertical="center" wrapText="1"/>
    </xf>
    <xf numFmtId="0" fontId="35" fillId="11" borderId="148" xfId="0" applyFont="1" applyFill="1" applyBorder="1" applyAlignment="1">
      <alignment horizontal="center" vertical="center"/>
    </xf>
    <xf numFmtId="0" fontId="36" fillId="12" borderId="148" xfId="0" applyFont="1" applyFill="1" applyBorder="1" applyAlignment="1">
      <alignment horizontal="center" vertical="center"/>
    </xf>
    <xf numFmtId="0" fontId="36" fillId="13" borderId="148" xfId="0" applyFont="1" applyFill="1" applyBorder="1" applyAlignment="1">
      <alignment horizontal="center" vertical="center"/>
    </xf>
    <xf numFmtId="0" fontId="36" fillId="14" borderId="148" xfId="0" applyFont="1" applyFill="1" applyBorder="1" applyAlignment="1">
      <alignment horizontal="center" vertical="center"/>
    </xf>
    <xf numFmtId="0" fontId="30" fillId="10" borderId="148" xfId="0" applyFont="1" applyFill="1" applyBorder="1"/>
    <xf numFmtId="0" fontId="41" fillId="9" borderId="148" xfId="0" applyFont="1" applyFill="1" applyBorder="1"/>
    <xf numFmtId="2" fontId="30" fillId="10" borderId="148" xfId="0" applyNumberFormat="1" applyFont="1" applyFill="1" applyBorder="1"/>
    <xf numFmtId="0" fontId="0" fillId="0" borderId="0" xfId="0" applyAlignment="1"/>
    <xf numFmtId="0" fontId="0" fillId="0" borderId="122" xfId="0" applyBorder="1"/>
    <xf numFmtId="0" fontId="18" fillId="0" borderId="122" xfId="0" applyFont="1" applyBorder="1" applyAlignment="1">
      <alignment horizontal="center" vertical="center"/>
    </xf>
    <xf numFmtId="0" fontId="0" fillId="0" borderId="122" xfId="0" applyBorder="1" applyAlignment="1">
      <alignment horizontal="center" vertical="center"/>
    </xf>
    <xf numFmtId="0" fontId="0" fillId="0" borderId="122" xfId="0" applyBorder="1" applyAlignment="1">
      <alignment wrapText="1"/>
    </xf>
    <xf numFmtId="0" fontId="22" fillId="0" borderId="0" xfId="0" applyFont="1" applyBorder="1"/>
    <xf numFmtId="0" fontId="22" fillId="0" borderId="0" xfId="0" applyFont="1" applyBorder="1" applyAlignment="1">
      <alignment horizontal="center" vertical="center"/>
    </xf>
    <xf numFmtId="0" fontId="44" fillId="0" borderId="122" xfId="0" applyFont="1" applyBorder="1" applyAlignment="1">
      <alignment horizontal="left" vertical="top" indent="5"/>
    </xf>
    <xf numFmtId="0" fontId="1" fillId="0" borderId="122" xfId="0" applyFont="1" applyBorder="1" applyAlignment="1">
      <alignment horizontal="left" vertical="center" indent="5"/>
    </xf>
    <xf numFmtId="0" fontId="1" fillId="0" borderId="122" xfId="0" applyFont="1" applyBorder="1"/>
    <xf numFmtId="0" fontId="1" fillId="0" borderId="122" xfId="0" applyFont="1" applyBorder="1" applyAlignment="1">
      <alignment vertical="center"/>
    </xf>
    <xf numFmtId="0" fontId="18" fillId="0" borderId="122" xfId="0" applyFont="1" applyBorder="1" applyAlignment="1">
      <alignment vertical="center"/>
    </xf>
    <xf numFmtId="0" fontId="22" fillId="0" borderId="122" xfId="0" applyFont="1" applyBorder="1" applyAlignment="1">
      <alignment horizontal="center"/>
    </xf>
    <xf numFmtId="2" fontId="30" fillId="10" borderId="153" xfId="0" applyNumberFormat="1" applyFont="1" applyFill="1" applyBorder="1" applyAlignment="1"/>
    <xf numFmtId="0" fontId="0" fillId="0" borderId="0" xfId="0" applyBorder="1"/>
    <xf numFmtId="2" fontId="0" fillId="0" borderId="0" xfId="0" applyNumberFormat="1" applyBorder="1" applyAlignment="1">
      <alignment horizontal="right"/>
    </xf>
    <xf numFmtId="0" fontId="0" fillId="0" borderId="154" xfId="0" applyBorder="1"/>
    <xf numFmtId="0" fontId="0" fillId="0" borderId="155" xfId="0" applyBorder="1"/>
    <xf numFmtId="2" fontId="0" fillId="0" borderId="154" xfId="0" applyNumberFormat="1" applyBorder="1" applyAlignment="1">
      <alignment horizontal="right"/>
    </xf>
    <xf numFmtId="0" fontId="45" fillId="0" borderId="0" xfId="0" applyFont="1" applyAlignment="1">
      <alignment horizontal="center"/>
    </xf>
    <xf numFmtId="0" fontId="0" fillId="15" borderId="0" xfId="0" applyFill="1"/>
    <xf numFmtId="167" fontId="0" fillId="15" borderId="0" xfId="0" applyNumberFormat="1" applyFill="1"/>
    <xf numFmtId="0" fontId="36" fillId="9" borderId="148" xfId="0" applyFont="1" applyFill="1" applyBorder="1" applyAlignment="1">
      <alignment vertical="center"/>
    </xf>
    <xf numFmtId="0" fontId="40" fillId="11" borderId="156" xfId="0" applyFont="1" applyFill="1" applyBorder="1" applyAlignment="1">
      <alignment horizontal="center" vertical="center" wrapText="1"/>
    </xf>
    <xf numFmtId="0" fontId="0" fillId="0" borderId="153" xfId="0" applyBorder="1"/>
    <xf numFmtId="0" fontId="30" fillId="0" borderId="152" xfId="0" applyFont="1" applyBorder="1"/>
    <xf numFmtId="0" fontId="0" fillId="0" borderId="152" xfId="0" applyBorder="1"/>
    <xf numFmtId="0" fontId="0" fillId="0" borderId="167" xfId="0" applyBorder="1"/>
    <xf numFmtId="0" fontId="14" fillId="3" borderId="67" xfId="2" applyFont="1" applyFill="1" applyBorder="1" applyAlignment="1">
      <alignment horizontal="center" vertical="center"/>
    </xf>
    <xf numFmtId="0" fontId="14" fillId="3" borderId="68" xfId="2" applyFont="1" applyFill="1" applyBorder="1" applyAlignment="1">
      <alignment horizontal="center" vertical="center"/>
    </xf>
    <xf numFmtId="0" fontId="14" fillId="3" borderId="71" xfId="2" applyFont="1" applyFill="1" applyBorder="1" applyAlignment="1">
      <alignment horizontal="center" vertical="center"/>
    </xf>
    <xf numFmtId="0" fontId="14" fillId="3" borderId="72" xfId="2" applyFont="1" applyFill="1" applyBorder="1" applyAlignment="1">
      <alignment horizontal="center" vertical="center"/>
    </xf>
    <xf numFmtId="0" fontId="14" fillId="0" borderId="46" xfId="2" applyFont="1" applyBorder="1" applyAlignment="1">
      <alignment horizontal="center" vertical="center"/>
    </xf>
    <xf numFmtId="0" fontId="14" fillId="0" borderId="49" xfId="2" applyFont="1" applyBorder="1" applyAlignment="1">
      <alignment horizontal="center" vertical="center"/>
    </xf>
    <xf numFmtId="0" fontId="14" fillId="0" borderId="52" xfId="2"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11" fillId="3" borderId="67" xfId="2" applyFont="1" applyFill="1" applyBorder="1" applyAlignment="1">
      <alignment horizontal="center" vertical="center"/>
    </xf>
    <xf numFmtId="0" fontId="11" fillId="3" borderId="71" xfId="2" applyFont="1" applyFill="1" applyBorder="1" applyAlignment="1">
      <alignment horizontal="center" vertical="center"/>
    </xf>
    <xf numFmtId="0" fontId="11" fillId="3" borderId="74" xfId="2" applyFont="1" applyFill="1" applyBorder="1" applyAlignment="1">
      <alignment horizontal="center" vertical="center"/>
    </xf>
    <xf numFmtId="0" fontId="11" fillId="3" borderId="66" xfId="2" applyFont="1" applyFill="1" applyBorder="1" applyAlignment="1">
      <alignment horizontal="center" vertical="center"/>
    </xf>
    <xf numFmtId="0" fontId="11" fillId="3" borderId="70" xfId="2" applyFont="1" applyFill="1" applyBorder="1" applyAlignment="1">
      <alignment horizontal="center" vertical="center"/>
    </xf>
    <xf numFmtId="0" fontId="11" fillId="3" borderId="45" xfId="2" applyFont="1" applyFill="1" applyBorder="1" applyAlignment="1">
      <alignment horizontal="center" vertical="center"/>
    </xf>
    <xf numFmtId="0" fontId="11" fillId="3" borderId="48" xfId="2" applyFont="1" applyFill="1" applyBorder="1" applyAlignment="1">
      <alignment horizontal="center" vertical="center"/>
    </xf>
    <xf numFmtId="0" fontId="11" fillId="3" borderId="51" xfId="2" applyFont="1" applyFill="1" applyBorder="1" applyAlignment="1">
      <alignment horizontal="center" vertical="center"/>
    </xf>
    <xf numFmtId="0" fontId="14" fillId="0" borderId="46" xfId="2" applyFont="1" applyBorder="1" applyAlignment="1">
      <alignment horizontal="center" vertical="center"/>
    </xf>
    <xf numFmtId="0" fontId="14" fillId="0" borderId="49" xfId="2" applyFont="1" applyBorder="1" applyAlignment="1">
      <alignment horizontal="center" vertical="center"/>
    </xf>
    <xf numFmtId="0" fontId="14" fillId="0" borderId="52" xfId="2" applyFont="1" applyBorder="1" applyAlignment="1">
      <alignment horizontal="center"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2" fontId="4" fillId="0" borderId="2" xfId="0" applyNumberFormat="1" applyFont="1" applyBorder="1" applyAlignment="1">
      <alignment horizontal="center" vertical="top"/>
    </xf>
    <xf numFmtId="2" fontId="4" fillId="0" borderId="5" xfId="0" applyNumberFormat="1" applyFont="1" applyBorder="1" applyAlignment="1">
      <alignment horizontal="center" vertical="top"/>
    </xf>
    <xf numFmtId="2" fontId="4" fillId="0" borderId="6" xfId="0" applyNumberFormat="1" applyFont="1" applyBorder="1" applyAlignment="1">
      <alignment horizontal="center" vertical="top"/>
    </xf>
    <xf numFmtId="0" fontId="19" fillId="0" borderId="0" xfId="0" applyFont="1" applyAlignment="1"/>
    <xf numFmtId="0" fontId="0" fillId="0" borderId="0" xfId="0" applyAlignment="1"/>
    <xf numFmtId="0" fontId="51" fillId="0" borderId="0" xfId="0" applyFont="1" applyAlignment="1">
      <alignment vertical="top" wrapText="1"/>
    </xf>
    <xf numFmtId="0" fontId="52" fillId="0" borderId="0" xfId="0" applyFont="1" applyAlignment="1">
      <alignment vertical="top"/>
    </xf>
    <xf numFmtId="0" fontId="42" fillId="9" borderId="0" xfId="0" applyFont="1" applyFill="1" applyAlignment="1">
      <alignment horizontal="center" vertical="center"/>
    </xf>
    <xf numFmtId="0" fontId="43" fillId="9" borderId="0" xfId="0" applyFont="1" applyFill="1" applyAlignment="1">
      <alignment horizontal="center" vertical="center"/>
    </xf>
    <xf numFmtId="0" fontId="30" fillId="10" borderId="0" xfId="0" applyFont="1" applyFill="1" applyAlignment="1">
      <alignment horizontal="left" vertical="top"/>
    </xf>
    <xf numFmtId="0" fontId="0" fillId="10" borderId="0" xfId="0" applyFill="1" applyAlignment="1">
      <alignment horizontal="left" vertical="top"/>
    </xf>
    <xf numFmtId="0" fontId="28" fillId="9" borderId="134" xfId="0" applyFont="1" applyFill="1" applyBorder="1" applyAlignment="1">
      <alignment horizontal="center" vertical="center"/>
    </xf>
    <xf numFmtId="0" fontId="29" fillId="0" borderId="134" xfId="0" applyFont="1" applyBorder="1" applyAlignment="1">
      <alignment horizontal="center" vertical="center"/>
    </xf>
    <xf numFmtId="0" fontId="29" fillId="0" borderId="135" xfId="0" applyFont="1" applyBorder="1" applyAlignment="1">
      <alignment horizontal="center" vertical="center"/>
    </xf>
    <xf numFmtId="0" fontId="37" fillId="12" borderId="151" xfId="0" applyFont="1" applyFill="1" applyBorder="1" applyAlignment="1">
      <alignment horizontal="center" vertical="center"/>
    </xf>
    <xf numFmtId="0" fontId="38" fillId="12" borderId="150" xfId="0" applyFont="1" applyFill="1" applyBorder="1" applyAlignment="1">
      <alignment horizontal="center" vertical="center"/>
    </xf>
    <xf numFmtId="0" fontId="38" fillId="12" borderId="149" xfId="0" applyFont="1" applyFill="1" applyBorder="1" applyAlignment="1">
      <alignment horizontal="center" vertical="center"/>
    </xf>
    <xf numFmtId="0" fontId="37" fillId="13" borderId="151" xfId="0" applyFont="1" applyFill="1" applyBorder="1" applyAlignment="1">
      <alignment horizontal="center" vertical="center" wrapText="1"/>
    </xf>
    <xf numFmtId="0" fontId="38" fillId="13" borderId="149" xfId="0" applyFont="1" applyFill="1" applyBorder="1" applyAlignment="1">
      <alignment horizontal="center" vertical="center" wrapText="1"/>
    </xf>
    <xf numFmtId="0" fontId="37" fillId="14" borderId="151" xfId="0" applyFont="1" applyFill="1" applyBorder="1" applyAlignment="1">
      <alignment horizontal="center" vertical="center"/>
    </xf>
    <xf numFmtId="0" fontId="39" fillId="14" borderId="150" xfId="0" applyFont="1" applyFill="1" applyBorder="1" applyAlignment="1">
      <alignment horizontal="center" vertical="center"/>
    </xf>
    <xf numFmtId="0" fontId="39" fillId="14" borderId="149" xfId="0" applyFont="1" applyFill="1" applyBorder="1" applyAlignment="1">
      <alignment horizontal="center" vertical="center"/>
    </xf>
    <xf numFmtId="0" fontId="28" fillId="9" borderId="0" xfId="0" applyFont="1" applyFill="1" applyAlignment="1">
      <alignment horizontal="center" vertical="center"/>
    </xf>
    <xf numFmtId="0" fontId="29" fillId="9" borderId="0" xfId="0" applyFont="1" applyFill="1" applyAlignment="1">
      <alignment horizontal="center" vertical="center"/>
    </xf>
    <xf numFmtId="0" fontId="33" fillId="0" borderId="152" xfId="0" applyFont="1" applyBorder="1" applyAlignment="1">
      <alignment horizontal="center" vertical="center"/>
    </xf>
    <xf numFmtId="0" fontId="22" fillId="0" borderId="152" xfId="0" applyFont="1" applyBorder="1" applyAlignment="1">
      <alignment horizontal="center" vertical="center"/>
    </xf>
    <xf numFmtId="0" fontId="47" fillId="0" borderId="0" xfId="0" applyFont="1" applyAlignment="1">
      <alignment horizontal="center" vertical="center" wrapText="1"/>
    </xf>
    <xf numFmtId="0" fontId="39" fillId="0" borderId="0" xfId="0" applyFont="1" applyAlignment="1">
      <alignment horizontal="center" vertical="center" wrapText="1"/>
    </xf>
    <xf numFmtId="0" fontId="39" fillId="0" borderId="152" xfId="0" applyFont="1" applyBorder="1" applyAlignment="1">
      <alignment horizontal="center" vertical="center" wrapText="1"/>
    </xf>
    <xf numFmtId="0" fontId="49" fillId="0" borderId="0" xfId="0" applyFont="1" applyAlignment="1">
      <alignment vertical="top" wrapText="1"/>
    </xf>
    <xf numFmtId="0" fontId="50" fillId="0" borderId="0" xfId="0" applyFont="1" applyAlignment="1">
      <alignment vertical="top"/>
    </xf>
    <xf numFmtId="0" fontId="37" fillId="12" borderId="157" xfId="0" applyFont="1" applyFill="1" applyBorder="1" applyAlignment="1">
      <alignment horizontal="center" vertical="center"/>
    </xf>
    <xf numFmtId="0" fontId="38" fillId="12" borderId="152" xfId="0" applyFont="1" applyFill="1" applyBorder="1" applyAlignment="1">
      <alignment horizontal="center" vertical="center"/>
    </xf>
    <xf numFmtId="0" fontId="38" fillId="12" borderId="158" xfId="0" applyFont="1" applyFill="1" applyBorder="1" applyAlignment="1">
      <alignment horizontal="center" vertical="center"/>
    </xf>
    <xf numFmtId="0" fontId="37" fillId="13" borderId="157" xfId="0" applyFont="1" applyFill="1" applyBorder="1" applyAlignment="1">
      <alignment horizontal="center" vertical="center" wrapText="1"/>
    </xf>
    <xf numFmtId="0" fontId="38" fillId="13" borderId="158" xfId="0" applyFont="1" applyFill="1" applyBorder="1" applyAlignment="1">
      <alignment horizontal="center" vertical="center" wrapText="1"/>
    </xf>
    <xf numFmtId="0" fontId="37" fillId="14" borderId="157" xfId="0" applyFont="1" applyFill="1" applyBorder="1" applyAlignment="1">
      <alignment horizontal="center" vertical="center"/>
    </xf>
    <xf numFmtId="0" fontId="39" fillId="14" borderId="152" xfId="0" applyFont="1" applyFill="1" applyBorder="1" applyAlignment="1">
      <alignment horizontal="center" vertical="center"/>
    </xf>
    <xf numFmtId="0" fontId="39" fillId="14" borderId="158" xfId="0" applyFont="1" applyFill="1" applyBorder="1" applyAlignment="1">
      <alignment horizontal="center" vertical="center"/>
    </xf>
    <xf numFmtId="0" fontId="48" fillId="0" borderId="162" xfId="0" applyFont="1" applyBorder="1" applyAlignment="1">
      <alignment horizontal="center" vertical="top" wrapText="1"/>
    </xf>
    <xf numFmtId="0" fontId="0" fillId="0" borderId="163" xfId="0" applyFont="1" applyBorder="1" applyAlignment="1">
      <alignment horizontal="center" vertical="top" wrapText="1"/>
    </xf>
    <xf numFmtId="0" fontId="0" fillId="0" borderId="164" xfId="0" applyFont="1" applyBorder="1" applyAlignment="1">
      <alignment horizontal="center" vertical="top" wrapText="1"/>
    </xf>
    <xf numFmtId="0" fontId="0" fillId="0" borderId="159" xfId="0" applyFont="1" applyBorder="1" applyAlignment="1">
      <alignment horizontal="center" vertical="top" wrapText="1"/>
    </xf>
    <xf numFmtId="0" fontId="0" fillId="0" borderId="122" xfId="0" applyFont="1" applyBorder="1" applyAlignment="1">
      <alignment horizontal="center" vertical="top" wrapText="1"/>
    </xf>
    <xf numFmtId="0" fontId="0" fillId="0" borderId="165" xfId="0" applyFont="1" applyBorder="1" applyAlignment="1">
      <alignment horizontal="center" vertical="top" wrapText="1"/>
    </xf>
    <xf numFmtId="0" fontId="0" fillId="0" borderId="160" xfId="0" applyFont="1" applyBorder="1" applyAlignment="1">
      <alignment horizontal="center" vertical="top" wrapText="1"/>
    </xf>
    <xf numFmtId="0" fontId="0" fillId="0" borderId="161" xfId="0" applyFont="1" applyBorder="1" applyAlignment="1">
      <alignment horizontal="center" vertical="top" wrapText="1"/>
    </xf>
    <xf numFmtId="0" fontId="0" fillId="0" borderId="166" xfId="0" applyFont="1" applyBorder="1" applyAlignment="1">
      <alignment horizontal="center" vertical="top" wrapText="1"/>
    </xf>
    <xf numFmtId="0" fontId="46" fillId="0" borderId="152" xfId="0" applyFont="1" applyBorder="1" applyAlignment="1">
      <alignment horizontal="center" vertical="center"/>
    </xf>
  </cellXfs>
  <cellStyles count="6">
    <cellStyle name="Milliers" xfId="1" builtinId="3"/>
    <cellStyle name="Normal" xfId="0" builtinId="0"/>
    <cellStyle name="Normal 2" xfId="2"/>
    <cellStyle name="Normal 2 2" xfId="3"/>
    <cellStyle name="Pourcentage" xfId="5" builtinId="5"/>
    <cellStyle name="Pourcentage 2" xfId="4"/>
  </cellStyles>
  <dxfs count="7">
    <dxf>
      <font>
        <color theme="1"/>
      </font>
    </dxf>
    <dxf>
      <font>
        <color theme="1"/>
      </font>
    </dxf>
    <dxf>
      <font>
        <color theme="1"/>
      </font>
    </dxf>
    <dxf>
      <font>
        <color theme="1"/>
      </font>
    </dxf>
    <dxf>
      <font>
        <color theme="1"/>
      </font>
    </dxf>
    <dxf>
      <font>
        <color auto="1"/>
      </font>
    </dxf>
    <dxf>
      <font>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WORKING CAPITAL RATIOS AND WORKING CAPITAL REQUIREMENTS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Ratios!$F$2</c:f>
              <c:strCache>
                <c:ptCount val="1"/>
                <c:pt idx="0">
                  <c:v>N</c:v>
                </c:pt>
              </c:strCache>
            </c:strRef>
          </c:tx>
          <c:spPr>
            <a:solidFill>
              <a:schemeClr val="accent1"/>
            </a:solidFill>
            <a:ln>
              <a:noFill/>
            </a:ln>
            <a:effectLst/>
          </c:spPr>
          <c:invertIfNegative val="0"/>
          <c:cat>
            <c:strRef>
              <c:f>Ratios!$A$3:$E$6</c:f>
              <c:strCache>
                <c:ptCount val="4"/>
                <c:pt idx="0">
                  <c:v>WC (Working capital) = K perm - Actif net Immob </c:v>
                </c:pt>
                <c:pt idx="1">
                  <c:v>NWC (Need for working capital) = Actif circ - Passif circ</c:v>
                </c:pt>
                <c:pt idx="2">
                  <c:v>NCP (Net Cash Position) = FR - BFR</c:v>
                </c:pt>
                <c:pt idx="3">
                  <c:v>CAF (Self-financing capacity) = EBITDA + 
Cashable products - Non cash charge</c:v>
                </c:pt>
              </c:strCache>
            </c:strRef>
          </c:cat>
          <c:val>
            <c:numRef>
              <c:f>Ratios!$F$3:$F$6</c:f>
              <c:numCache>
                <c:formatCode>#,##0</c:formatCode>
                <c:ptCount val="4"/>
                <c:pt idx="0">
                  <c:v>66601686</c:v>
                </c:pt>
                <c:pt idx="1">
                  <c:v>67599588</c:v>
                </c:pt>
                <c:pt idx="2">
                  <c:v>-997902</c:v>
                </c:pt>
                <c:pt idx="3">
                  <c:v>69013210</c:v>
                </c:pt>
              </c:numCache>
            </c:numRef>
          </c:val>
          <c:extLst xmlns:c16r2="http://schemas.microsoft.com/office/drawing/2015/06/chart">
            <c:ext xmlns:c16="http://schemas.microsoft.com/office/drawing/2014/chart" uri="{C3380CC4-5D6E-409C-BE32-E72D297353CC}">
              <c16:uniqueId val="{00000000-B06C-4AE9-97AB-3F43CA3CAD65}"/>
            </c:ext>
          </c:extLst>
        </c:ser>
        <c:ser>
          <c:idx val="1"/>
          <c:order val="1"/>
          <c:tx>
            <c:strRef>
              <c:f>Ratios!$G$2</c:f>
              <c:strCache>
                <c:ptCount val="1"/>
                <c:pt idx="0">
                  <c:v>N-1</c:v>
                </c:pt>
              </c:strCache>
            </c:strRef>
          </c:tx>
          <c:spPr>
            <a:solidFill>
              <a:schemeClr val="accent2"/>
            </a:solidFill>
            <a:ln>
              <a:noFill/>
            </a:ln>
            <a:effectLst/>
          </c:spPr>
          <c:invertIfNegative val="0"/>
          <c:cat>
            <c:strRef>
              <c:f>Ratios!$A$3:$E$6</c:f>
              <c:strCache>
                <c:ptCount val="4"/>
                <c:pt idx="0">
                  <c:v>WC (Working capital) = K perm - Actif net Immob </c:v>
                </c:pt>
                <c:pt idx="1">
                  <c:v>NWC (Need for working capital) = Actif circ - Passif circ</c:v>
                </c:pt>
                <c:pt idx="2">
                  <c:v>NCP (Net Cash Position) = FR - BFR</c:v>
                </c:pt>
                <c:pt idx="3">
                  <c:v>CAF (Self-financing capacity) = EBITDA + 
Cashable products - Non cash charge</c:v>
                </c:pt>
              </c:strCache>
            </c:strRef>
          </c:cat>
          <c:val>
            <c:numRef>
              <c:f>Ratios!$G$3:$G$6</c:f>
              <c:numCache>
                <c:formatCode>#,##0</c:formatCode>
                <c:ptCount val="4"/>
                <c:pt idx="0">
                  <c:v>53121311</c:v>
                </c:pt>
                <c:pt idx="1">
                  <c:v>50685100</c:v>
                </c:pt>
                <c:pt idx="2">
                  <c:v>2436211</c:v>
                </c:pt>
                <c:pt idx="3">
                  <c:v>55717056</c:v>
                </c:pt>
              </c:numCache>
            </c:numRef>
          </c:val>
          <c:extLst xmlns:c16r2="http://schemas.microsoft.com/office/drawing/2015/06/chart">
            <c:ext xmlns:c16="http://schemas.microsoft.com/office/drawing/2014/chart" uri="{C3380CC4-5D6E-409C-BE32-E72D297353CC}">
              <c16:uniqueId val="{00000001-B06C-4AE9-97AB-3F43CA3CAD65}"/>
            </c:ext>
          </c:extLst>
        </c:ser>
        <c:dLbls>
          <c:showLegendKey val="0"/>
          <c:showVal val="0"/>
          <c:showCatName val="0"/>
          <c:showSerName val="0"/>
          <c:showPercent val="0"/>
          <c:showBubbleSize val="0"/>
        </c:dLbls>
        <c:gapWidth val="219"/>
        <c:overlap val="-27"/>
        <c:axId val="172661952"/>
        <c:axId val="172661560"/>
      </c:barChart>
      <c:lineChart>
        <c:grouping val="standard"/>
        <c:varyColors val="0"/>
        <c:ser>
          <c:idx val="2"/>
          <c:order val="2"/>
          <c:tx>
            <c:strRef>
              <c:f>Ratios!$H$2</c:f>
              <c:strCache>
                <c:ptCount val="1"/>
                <c:pt idx="0">
                  <c:v>N-2</c:v>
                </c:pt>
              </c:strCache>
            </c:strRef>
          </c:tx>
          <c:spPr>
            <a:ln w="28575" cap="rnd">
              <a:solidFill>
                <a:schemeClr val="accent3"/>
              </a:solidFill>
              <a:round/>
            </a:ln>
            <a:effectLst/>
          </c:spPr>
          <c:marker>
            <c:symbol val="none"/>
          </c:marker>
          <c:cat>
            <c:strRef>
              <c:f>Ratios!$A$3:$E$6</c:f>
              <c:strCache>
                <c:ptCount val="4"/>
                <c:pt idx="0">
                  <c:v>WC (Working capital) = K perm - Actif net Immob </c:v>
                </c:pt>
                <c:pt idx="1">
                  <c:v>NWC (Need for working capital) = Actif circ - Passif circ</c:v>
                </c:pt>
                <c:pt idx="2">
                  <c:v>NCP (Net Cash Position) = FR - BFR</c:v>
                </c:pt>
                <c:pt idx="3">
                  <c:v>CAF (Self-financing capacity) = EBITDA + 
Cashable products - Non cash charge</c:v>
                </c:pt>
              </c:strCache>
            </c:strRef>
          </c:cat>
          <c:val>
            <c:numRef>
              <c:f>Ratios!$H$3:$H$6</c:f>
              <c:numCache>
                <c:formatCode>#,##0</c:formatCode>
                <c:ptCount val="4"/>
                <c:pt idx="0">
                  <c:v>62394000</c:v>
                </c:pt>
                <c:pt idx="1">
                  <c:v>55159000</c:v>
                </c:pt>
                <c:pt idx="2">
                  <c:v>7235000</c:v>
                </c:pt>
                <c:pt idx="3">
                  <c:v>91852000</c:v>
                </c:pt>
              </c:numCache>
            </c:numRef>
          </c:val>
          <c:smooth val="0"/>
          <c:extLst xmlns:c16r2="http://schemas.microsoft.com/office/drawing/2015/06/chart">
            <c:ext xmlns:c16="http://schemas.microsoft.com/office/drawing/2014/chart" uri="{C3380CC4-5D6E-409C-BE32-E72D297353CC}">
              <c16:uniqueId val="{00000002-B06C-4AE9-97AB-3F43CA3CAD65}"/>
            </c:ext>
          </c:extLst>
        </c:ser>
        <c:dLbls>
          <c:showLegendKey val="0"/>
          <c:showVal val="0"/>
          <c:showCatName val="0"/>
          <c:showSerName val="0"/>
          <c:showPercent val="0"/>
          <c:showBubbleSize val="0"/>
        </c:dLbls>
        <c:marker val="1"/>
        <c:smooth val="0"/>
        <c:axId val="172661952"/>
        <c:axId val="172661560"/>
      </c:lineChart>
      <c:catAx>
        <c:axId val="17266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661560"/>
        <c:crosses val="autoZero"/>
        <c:auto val="1"/>
        <c:lblAlgn val="ctr"/>
        <c:lblOffset val="100"/>
        <c:noMultiLvlLbl val="0"/>
      </c:catAx>
      <c:valAx>
        <c:axId val="172661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661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SOLVENCY AND FINANCIAL AUTONOMY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Ratios!$A$25:$E$25</c:f>
              <c:strCache>
                <c:ptCount val="5"/>
                <c:pt idx="0">
                  <c:v>Solvency =  Shareholders' equity/T total asset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strRef>
              <c:f>Ratios!$F$24:$H$24</c:f>
              <c:strCache>
                <c:ptCount val="3"/>
                <c:pt idx="0">
                  <c:v>N</c:v>
                </c:pt>
                <c:pt idx="1">
                  <c:v>N-1</c:v>
                </c:pt>
                <c:pt idx="2">
                  <c:v>N-2</c:v>
                </c:pt>
              </c:strCache>
            </c:strRef>
          </c:xVal>
          <c:yVal>
            <c:numRef>
              <c:f>Ratios!$F$25:$H$25</c:f>
              <c:numCache>
                <c:formatCode>0.00%</c:formatCode>
                <c:ptCount val="3"/>
                <c:pt idx="0">
                  <c:v>0.84444938132071257</c:v>
                </c:pt>
                <c:pt idx="1">
                  <c:v>0.76612698477364449</c:v>
                </c:pt>
                <c:pt idx="2">
                  <c:v>0.83611389359031929</c:v>
                </c:pt>
              </c:numCache>
            </c:numRef>
          </c:yVal>
          <c:smooth val="0"/>
          <c:extLst xmlns:c16r2="http://schemas.microsoft.com/office/drawing/2015/06/chart">
            <c:ext xmlns:c16="http://schemas.microsoft.com/office/drawing/2014/chart" uri="{C3380CC4-5D6E-409C-BE32-E72D297353CC}">
              <c16:uniqueId val="{00000000-CF53-4271-AD3B-CA39C449893F}"/>
            </c:ext>
          </c:extLst>
        </c:ser>
        <c:ser>
          <c:idx val="1"/>
          <c:order val="1"/>
          <c:tx>
            <c:strRef>
              <c:f>Ratios!$A$26:$E$26</c:f>
              <c:strCache>
                <c:ptCount val="5"/>
                <c:pt idx="0">
                  <c:v>Financial autonomy =  Shareholders' equity / permanent capital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strRef>
              <c:f>Ratios!$F$24:$H$24</c:f>
              <c:strCache>
                <c:ptCount val="3"/>
                <c:pt idx="0">
                  <c:v>N</c:v>
                </c:pt>
                <c:pt idx="1">
                  <c:v>N-1</c:v>
                </c:pt>
                <c:pt idx="2">
                  <c:v>N-2</c:v>
                </c:pt>
              </c:strCache>
            </c:strRef>
          </c:xVal>
          <c:yVal>
            <c:numRef>
              <c:f>Ratios!$F$26:$H$26</c:f>
              <c:numCache>
                <c:formatCode>0.00%</c:formatCode>
                <c:ptCount val="3"/>
                <c:pt idx="0">
                  <c:v>1</c:v>
                </c:pt>
                <c:pt idx="1">
                  <c:v>1</c:v>
                </c:pt>
                <c:pt idx="2">
                  <c:v>1</c:v>
                </c:pt>
              </c:numCache>
            </c:numRef>
          </c:yVal>
          <c:smooth val="0"/>
          <c:extLst xmlns:c16r2="http://schemas.microsoft.com/office/drawing/2015/06/chart">
            <c:ext xmlns:c16="http://schemas.microsoft.com/office/drawing/2014/chart" uri="{C3380CC4-5D6E-409C-BE32-E72D297353CC}">
              <c16:uniqueId val="{00000001-CF53-4271-AD3B-CA39C449893F}"/>
            </c:ext>
          </c:extLst>
        </c:ser>
        <c:dLbls>
          <c:showLegendKey val="0"/>
          <c:showVal val="0"/>
          <c:showCatName val="0"/>
          <c:showSerName val="0"/>
          <c:showPercent val="0"/>
          <c:showBubbleSize val="0"/>
        </c:dLbls>
        <c:axId val="172663520"/>
        <c:axId val="172664696"/>
      </c:scatterChart>
      <c:valAx>
        <c:axId val="17266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664696"/>
        <c:crosses val="autoZero"/>
        <c:crossBetween val="midCat"/>
      </c:valAx>
      <c:valAx>
        <c:axId val="172664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6635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PROFITABILITY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4"/>
          <c:order val="4"/>
          <c:tx>
            <c:strRef>
              <c:f>Ratios!$F$41</c:f>
              <c:strCache>
                <c:ptCount val="1"/>
                <c:pt idx="0">
                  <c:v>N</c:v>
                </c:pt>
              </c:strCache>
            </c:strRef>
          </c:tx>
          <c:spPr>
            <a:solidFill>
              <a:schemeClr val="accent5"/>
            </a:solidFill>
            <a:ln>
              <a:noFill/>
            </a:ln>
            <a:effectLst/>
            <a:sp3d/>
          </c:spPr>
          <c:invertIfNegative val="0"/>
          <c:cat>
            <c:strRef>
              <c:f>Ratios!$A$42:$A$45</c:f>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f>Ratios!$F$42:$F$45</c:f>
              <c:numCache>
                <c:formatCode>0.00%</c:formatCode>
                <c:ptCount val="4"/>
                <c:pt idx="0">
                  <c:v>0.4048523167513971</c:v>
                </c:pt>
                <c:pt idx="1">
                  <c:v>0.22395330954560719</c:v>
                </c:pt>
                <c:pt idx="2">
                  <c:v>9.4232920468438813E-2</c:v>
                </c:pt>
                <c:pt idx="3">
                  <c:v>0.1247419026520472</c:v>
                </c:pt>
              </c:numCache>
            </c:numRef>
          </c:val>
          <c:extLst xmlns:c16r2="http://schemas.microsoft.com/office/drawing/2015/06/chart">
            <c:ext xmlns:c16="http://schemas.microsoft.com/office/drawing/2014/chart" uri="{C3380CC4-5D6E-409C-BE32-E72D297353CC}">
              <c16:uniqueId val="{00000004-86C1-46CE-84C4-4A143ECF75E7}"/>
            </c:ext>
          </c:extLst>
        </c:ser>
        <c:ser>
          <c:idx val="5"/>
          <c:order val="5"/>
          <c:tx>
            <c:strRef>
              <c:f>Ratios!$G$41</c:f>
              <c:strCache>
                <c:ptCount val="1"/>
                <c:pt idx="0">
                  <c:v>N-1</c:v>
                </c:pt>
              </c:strCache>
            </c:strRef>
          </c:tx>
          <c:spPr>
            <a:solidFill>
              <a:schemeClr val="accent6"/>
            </a:solidFill>
            <a:ln>
              <a:noFill/>
            </a:ln>
            <a:effectLst/>
            <a:sp3d/>
          </c:spPr>
          <c:invertIfNegative val="0"/>
          <c:cat>
            <c:strRef>
              <c:f>Ratios!$A$42:$A$45</c:f>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f>Ratios!$G$42:$G$45</c:f>
              <c:numCache>
                <c:formatCode>0.00%</c:formatCode>
                <c:ptCount val="4"/>
                <c:pt idx="0">
                  <c:v>0.36027670615488644</c:v>
                </c:pt>
                <c:pt idx="1">
                  <c:v>0.24801284233128099</c:v>
                </c:pt>
                <c:pt idx="2">
                  <c:v>9.4515958023700594E-2</c:v>
                </c:pt>
                <c:pt idx="3">
                  <c:v>0.13318865598224719</c:v>
                </c:pt>
              </c:numCache>
            </c:numRef>
          </c:val>
          <c:extLst xmlns:c16r2="http://schemas.microsoft.com/office/drawing/2015/06/chart">
            <c:ext xmlns:c16="http://schemas.microsoft.com/office/drawing/2014/chart" uri="{C3380CC4-5D6E-409C-BE32-E72D297353CC}">
              <c16:uniqueId val="{00000005-86C1-46CE-84C4-4A143ECF75E7}"/>
            </c:ext>
          </c:extLst>
        </c:ser>
        <c:ser>
          <c:idx val="6"/>
          <c:order val="6"/>
          <c:tx>
            <c:strRef>
              <c:f>Ratios!$H$41</c:f>
              <c:strCache>
                <c:ptCount val="1"/>
                <c:pt idx="0">
                  <c:v>N-2</c:v>
                </c:pt>
              </c:strCache>
            </c:strRef>
          </c:tx>
          <c:spPr>
            <a:solidFill>
              <a:schemeClr val="accent1">
                <a:lumMod val="60000"/>
              </a:schemeClr>
            </a:solidFill>
            <a:ln>
              <a:noFill/>
            </a:ln>
            <a:effectLst/>
            <a:sp3d/>
          </c:spPr>
          <c:invertIfNegative val="0"/>
          <c:cat>
            <c:strRef>
              <c:f>Ratios!$A$42:$A$45</c:f>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f>Ratios!$H$42:$H$45</c:f>
              <c:numCache>
                <c:formatCode>0.00%</c:formatCode>
                <c:ptCount val="4"/>
                <c:pt idx="0">
                  <c:v>0.43517536732810974</c:v>
                </c:pt>
                <c:pt idx="1">
                  <c:v>0.18760429325680905</c:v>
                </c:pt>
                <c:pt idx="2">
                  <c:v>6.4545909457624007E-2</c:v>
                </c:pt>
                <c:pt idx="3">
                  <c:v>9.5534155084200531E-2</c:v>
                </c:pt>
              </c:numCache>
            </c:numRef>
          </c:val>
          <c:extLst xmlns:c16r2="http://schemas.microsoft.com/office/drawing/2015/06/chart">
            <c:ext xmlns:c16="http://schemas.microsoft.com/office/drawing/2014/chart" uri="{C3380CC4-5D6E-409C-BE32-E72D297353CC}">
              <c16:uniqueId val="{00000006-86C1-46CE-84C4-4A143ECF75E7}"/>
            </c:ext>
          </c:extLst>
        </c:ser>
        <c:dLbls>
          <c:showLegendKey val="0"/>
          <c:showVal val="0"/>
          <c:showCatName val="0"/>
          <c:showSerName val="0"/>
          <c:showPercent val="0"/>
          <c:showBubbleSize val="0"/>
        </c:dLbls>
        <c:gapWidth val="150"/>
        <c:shape val="box"/>
        <c:axId val="471205272"/>
        <c:axId val="471207624"/>
        <c:axId val="0"/>
        <c:extLst xmlns:c16r2="http://schemas.microsoft.com/office/drawing/2015/06/chart">
          <c:ext xmlns:c15="http://schemas.microsoft.com/office/drawing/2012/chart" uri="{02D57815-91ED-43cb-92C2-25804820EDAC}">
            <c15:filteredBarSeries>
              <c15:ser>
                <c:idx val="0"/>
                <c:order val="0"/>
                <c:tx>
                  <c:strRef>
                    <c:extLst xmlns:c16r2="http://schemas.microsoft.com/office/drawing/2015/06/chart">
                      <c:ext uri="{02D57815-91ED-43cb-92C2-25804820EDAC}">
                        <c15:formulaRef>
                          <c15:sqref>Ratios!$B$41</c15:sqref>
                        </c15:formulaRef>
                      </c:ext>
                    </c:extLst>
                    <c:strCache>
                      <c:ptCount val="1"/>
                    </c:strCache>
                  </c:strRef>
                </c:tx>
                <c:spPr>
                  <a:solidFill>
                    <a:schemeClr val="accent1"/>
                  </a:solidFill>
                  <a:ln>
                    <a:noFill/>
                  </a:ln>
                  <a:effectLst/>
                  <a:sp3d/>
                </c:spPr>
                <c:invertIfNegative val="0"/>
                <c:cat>
                  <c:strRef>
                    <c:extLst xmlns:c16r2="http://schemas.microsoft.com/office/drawing/2015/06/chart">
                      <c:ext uri="{02D57815-91ED-43cb-92C2-25804820EDAC}">
                        <c15:formulaRef>
                          <c15:sqref>Ratios!$A$42:$A$45</c15:sqref>
                        </c15:formulaRef>
                      </c:ext>
                    </c:extLst>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extLst xmlns:c16r2="http://schemas.microsoft.com/office/drawing/2015/06/chart">
                      <c:ext uri="{02D57815-91ED-43cb-92C2-25804820EDAC}">
                        <c15:formulaRef>
                          <c15:sqref>Ratios!$B$42:$B$45</c15:sqref>
                        </c15:formulaRef>
                      </c:ext>
                    </c:extLst>
                    <c:numCache>
                      <c:formatCode>General</c:formatCode>
                      <c:ptCount val="4"/>
                    </c:numCache>
                  </c:numRef>
                </c:val>
                <c:extLst xmlns:c16r2="http://schemas.microsoft.com/office/drawing/2015/06/chart">
                  <c:ext xmlns:c16="http://schemas.microsoft.com/office/drawing/2014/chart" uri="{C3380CC4-5D6E-409C-BE32-E72D297353CC}">
                    <c16:uniqueId val="{00000000-86C1-46CE-84C4-4A143ECF75E7}"/>
                  </c:ext>
                </c:extLst>
              </c15:ser>
            </c15:filteredBarSeries>
            <c15:filteredBarSeries>
              <c15:ser>
                <c:idx val="1"/>
                <c:order val="1"/>
                <c:tx>
                  <c:strRef>
                    <c:extLst xmlns:c15="http://schemas.microsoft.com/office/drawing/2012/chart" xmlns:c16r2="http://schemas.microsoft.com/office/drawing/2015/06/chart">
                      <c:ext xmlns:c15="http://schemas.microsoft.com/office/drawing/2012/chart" uri="{02D57815-91ED-43cb-92C2-25804820EDAC}">
                        <c15:formulaRef>
                          <c15:sqref>Ratios!$C$41</c15:sqref>
                        </c15:formulaRef>
                      </c:ext>
                    </c:extLst>
                    <c:strCache>
                      <c:ptCount val="1"/>
                    </c:strCache>
                  </c:strRef>
                </c:tx>
                <c:spPr>
                  <a:solidFill>
                    <a:schemeClr val="accent2"/>
                  </a:solidFill>
                  <a:ln>
                    <a:noFill/>
                  </a:ln>
                  <a:effectLst/>
                  <a:sp3d/>
                </c:spPr>
                <c:invertIfNegative val="0"/>
                <c:cat>
                  <c:strRef>
                    <c:extLst xmlns:c15="http://schemas.microsoft.com/office/drawing/2012/chart" xmlns:c16r2="http://schemas.microsoft.com/office/drawing/2015/06/chart">
                      <c:ext xmlns:c15="http://schemas.microsoft.com/office/drawing/2012/chart" uri="{02D57815-91ED-43cb-92C2-25804820EDAC}">
                        <c15:formulaRef>
                          <c15:sqref>Ratios!$A$42:$A$45</c15:sqref>
                        </c15:formulaRef>
                      </c:ext>
                    </c:extLst>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extLst xmlns:c15="http://schemas.microsoft.com/office/drawing/2012/chart" xmlns:c16r2="http://schemas.microsoft.com/office/drawing/2015/06/chart">
                      <c:ext xmlns:c15="http://schemas.microsoft.com/office/drawing/2012/chart" uri="{02D57815-91ED-43cb-92C2-25804820EDAC}">
                        <c15:formulaRef>
                          <c15:sqref>Ratios!$C$42:$C$45</c15:sqref>
                        </c15:formulaRef>
                      </c:ext>
                    </c:extLst>
                    <c:numCache>
                      <c:formatCode>General</c:formatCode>
                      <c:ptCount val="4"/>
                    </c:numCache>
                  </c:numRef>
                </c:val>
                <c:extLst xmlns:c15="http://schemas.microsoft.com/office/drawing/2012/chart" xmlns:c16r2="http://schemas.microsoft.com/office/drawing/2015/06/chart">
                  <c:ext xmlns:c16="http://schemas.microsoft.com/office/drawing/2014/chart" uri="{C3380CC4-5D6E-409C-BE32-E72D297353CC}">
                    <c16:uniqueId val="{00000001-86C1-46CE-84C4-4A143ECF75E7}"/>
                  </c:ext>
                </c:extLst>
              </c15:ser>
            </c15:filteredBarSeries>
            <c15:filteredBarSeries>
              <c15:ser>
                <c:idx val="2"/>
                <c:order val="2"/>
                <c:tx>
                  <c:strRef>
                    <c:extLst xmlns:c15="http://schemas.microsoft.com/office/drawing/2012/chart" xmlns:c16r2="http://schemas.microsoft.com/office/drawing/2015/06/chart">
                      <c:ext xmlns:c15="http://schemas.microsoft.com/office/drawing/2012/chart" uri="{02D57815-91ED-43cb-92C2-25804820EDAC}">
                        <c15:formulaRef>
                          <c15:sqref>Ratios!$D$41</c15:sqref>
                        </c15:formulaRef>
                      </c:ext>
                    </c:extLst>
                    <c:strCache>
                      <c:ptCount val="1"/>
                    </c:strCache>
                  </c:strRef>
                </c:tx>
                <c:spPr>
                  <a:solidFill>
                    <a:schemeClr val="accent3"/>
                  </a:solidFill>
                  <a:ln>
                    <a:noFill/>
                  </a:ln>
                  <a:effectLst/>
                  <a:sp3d/>
                </c:spPr>
                <c:invertIfNegative val="0"/>
                <c:cat>
                  <c:strRef>
                    <c:extLst xmlns:c15="http://schemas.microsoft.com/office/drawing/2012/chart" xmlns:c16r2="http://schemas.microsoft.com/office/drawing/2015/06/chart">
                      <c:ext xmlns:c15="http://schemas.microsoft.com/office/drawing/2012/chart" uri="{02D57815-91ED-43cb-92C2-25804820EDAC}">
                        <c15:formulaRef>
                          <c15:sqref>Ratios!$A$42:$A$45</c15:sqref>
                        </c15:formulaRef>
                      </c:ext>
                    </c:extLst>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extLst xmlns:c15="http://schemas.microsoft.com/office/drawing/2012/chart" xmlns:c16r2="http://schemas.microsoft.com/office/drawing/2015/06/chart">
                      <c:ext xmlns:c15="http://schemas.microsoft.com/office/drawing/2012/chart" uri="{02D57815-91ED-43cb-92C2-25804820EDAC}">
                        <c15:formulaRef>
                          <c15:sqref>Ratios!$D$42:$D$45</c15:sqref>
                        </c15:formulaRef>
                      </c:ext>
                    </c:extLst>
                    <c:numCache>
                      <c:formatCode>General</c:formatCode>
                      <c:ptCount val="4"/>
                    </c:numCache>
                  </c:numRef>
                </c:val>
                <c:extLst xmlns:c15="http://schemas.microsoft.com/office/drawing/2012/chart" xmlns:c16r2="http://schemas.microsoft.com/office/drawing/2015/06/chart">
                  <c:ext xmlns:c16="http://schemas.microsoft.com/office/drawing/2014/chart" uri="{C3380CC4-5D6E-409C-BE32-E72D297353CC}">
                    <c16:uniqueId val="{00000002-86C1-46CE-84C4-4A143ECF75E7}"/>
                  </c:ext>
                </c:extLst>
              </c15:ser>
            </c15:filteredBarSeries>
            <c15:filteredBarSeries>
              <c15:ser>
                <c:idx val="3"/>
                <c:order val="3"/>
                <c:tx>
                  <c:strRef>
                    <c:extLst xmlns:c15="http://schemas.microsoft.com/office/drawing/2012/chart" xmlns:c16r2="http://schemas.microsoft.com/office/drawing/2015/06/chart">
                      <c:ext xmlns:c15="http://schemas.microsoft.com/office/drawing/2012/chart" uri="{02D57815-91ED-43cb-92C2-25804820EDAC}">
                        <c15:formulaRef>
                          <c15:sqref>Ratios!$E$41</c15:sqref>
                        </c15:formulaRef>
                      </c:ext>
                    </c:extLst>
                    <c:strCache>
                      <c:ptCount val="1"/>
                    </c:strCache>
                  </c:strRef>
                </c:tx>
                <c:spPr>
                  <a:solidFill>
                    <a:schemeClr val="accent4"/>
                  </a:solidFill>
                  <a:ln>
                    <a:noFill/>
                  </a:ln>
                  <a:effectLst/>
                  <a:sp3d/>
                </c:spPr>
                <c:invertIfNegative val="0"/>
                <c:cat>
                  <c:strRef>
                    <c:extLst xmlns:c15="http://schemas.microsoft.com/office/drawing/2012/chart" xmlns:c16r2="http://schemas.microsoft.com/office/drawing/2015/06/chart">
                      <c:ext xmlns:c15="http://schemas.microsoft.com/office/drawing/2012/chart" uri="{02D57815-91ED-43cb-92C2-25804820EDAC}">
                        <c15:formulaRef>
                          <c15:sqref>Ratios!$A$42:$A$45</c15:sqref>
                        </c15:formulaRef>
                      </c:ext>
                    </c:extLst>
                    <c:strCache>
                      <c:ptCount val="4"/>
                      <c:pt idx="0">
                        <c:v>Return on equity (ROE): Net profit / Shareholders' equity</c:v>
                      </c:pt>
                      <c:pt idx="1">
                        <c:v>Return on Activity (ROA): Self-financing capacity / turnover</c:v>
                      </c:pt>
                      <c:pt idx="2">
                        <c:v>Net Margin Rate (NMR): Net profit/ Turnover</c:v>
                      </c:pt>
                      <c:pt idx="3">
                        <c:v>Gross margin rate: EBITDA / Turnover </c:v>
                      </c:pt>
                    </c:strCache>
                  </c:strRef>
                </c:cat>
                <c:val>
                  <c:numRef>
                    <c:extLst xmlns:c15="http://schemas.microsoft.com/office/drawing/2012/chart" xmlns:c16r2="http://schemas.microsoft.com/office/drawing/2015/06/chart">
                      <c:ext xmlns:c15="http://schemas.microsoft.com/office/drawing/2012/chart" uri="{02D57815-91ED-43cb-92C2-25804820EDAC}">
                        <c15:formulaRef>
                          <c15:sqref>Ratios!$E$42:$E$45</c15:sqref>
                        </c15:formulaRef>
                      </c:ext>
                    </c:extLst>
                    <c:numCache>
                      <c:formatCode>General</c:formatCode>
                      <c:ptCount val="4"/>
                    </c:numCache>
                  </c:numRef>
                </c:val>
                <c:extLst xmlns:c15="http://schemas.microsoft.com/office/drawing/2012/chart" xmlns:c16r2="http://schemas.microsoft.com/office/drawing/2015/06/chart">
                  <c:ext xmlns:c16="http://schemas.microsoft.com/office/drawing/2014/chart" uri="{C3380CC4-5D6E-409C-BE32-E72D297353CC}">
                    <c16:uniqueId val="{00000003-86C1-46CE-84C4-4A143ECF75E7}"/>
                  </c:ext>
                </c:extLst>
              </c15:ser>
            </c15:filteredBarSeries>
          </c:ext>
        </c:extLst>
      </c:bar3DChart>
      <c:catAx>
        <c:axId val="471205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1207624"/>
        <c:crosses val="autoZero"/>
        <c:auto val="1"/>
        <c:lblAlgn val="ctr"/>
        <c:lblOffset val="100"/>
        <c:noMultiLvlLbl val="0"/>
      </c:catAx>
      <c:valAx>
        <c:axId val="471207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1205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LIQUIDITY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percentStacked"/>
        <c:varyColors val="0"/>
        <c:ser>
          <c:idx val="0"/>
          <c:order val="0"/>
          <c:tx>
            <c:strRef>
              <c:f>Ratios!$A$68</c:f>
              <c:strCache>
                <c:ptCount val="1"/>
                <c:pt idx="0">
                  <c:v>Restricted liquidity : (Receivables + cash and cash equivalents) / short-term debts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Ratios!$B$66:$H$66</c:f>
              <c:strCache>
                <c:ptCount val="7"/>
                <c:pt idx="4">
                  <c:v>N</c:v>
                </c:pt>
                <c:pt idx="5">
                  <c:v>N-1</c:v>
                </c:pt>
                <c:pt idx="6">
                  <c:v>N-2</c:v>
                </c:pt>
              </c:strCache>
            </c:strRef>
          </c:cat>
          <c:val>
            <c:numRef>
              <c:f>Ratios!$B$68:$H$68</c:f>
              <c:numCache>
                <c:formatCode>General</c:formatCode>
                <c:ptCount val="7"/>
                <c:pt idx="4" formatCode="0.00%">
                  <c:v>3.068943704820716</c:v>
                </c:pt>
                <c:pt idx="5" formatCode="0.00%">
                  <c:v>1.777136807148735</c:v>
                </c:pt>
                <c:pt idx="6" formatCode="0%">
                  <c:v>2.6678375720106788</c:v>
                </c:pt>
              </c:numCache>
            </c:numRef>
          </c:val>
          <c:smooth val="0"/>
          <c:extLst xmlns:c16r2="http://schemas.microsoft.com/office/drawing/2015/06/chart">
            <c:ext xmlns:c16="http://schemas.microsoft.com/office/drawing/2014/chart" uri="{C3380CC4-5D6E-409C-BE32-E72D297353CC}">
              <c16:uniqueId val="{00000000-CD3A-43E4-BE72-B2BD684CD871}"/>
            </c:ext>
          </c:extLst>
        </c:ser>
        <c:ser>
          <c:idx val="1"/>
          <c:order val="1"/>
          <c:tx>
            <c:strRef>
              <c:f>Ratios!$A$69</c:f>
              <c:strCache>
                <c:ptCount val="1"/>
                <c:pt idx="0">
                  <c:v>Immediate liquidity : Cash/Short-term debt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Ratios!$B$66:$H$66</c:f>
              <c:strCache>
                <c:ptCount val="7"/>
                <c:pt idx="4">
                  <c:v>N</c:v>
                </c:pt>
                <c:pt idx="5">
                  <c:v>N-1</c:v>
                </c:pt>
                <c:pt idx="6">
                  <c:v>N-2</c:v>
                </c:pt>
              </c:strCache>
            </c:strRef>
          </c:cat>
          <c:val>
            <c:numRef>
              <c:f>Ratios!$B$69:$H$69</c:f>
              <c:numCache>
                <c:formatCode>General</c:formatCode>
                <c:ptCount val="7"/>
                <c:pt idx="4" formatCode="0.00%">
                  <c:v>0.36315294430657874</c:v>
                </c:pt>
                <c:pt idx="5" formatCode="0.00%">
                  <c:v>0.36142488177380905</c:v>
                </c:pt>
                <c:pt idx="6" formatCode="0%">
                  <c:v>0.50829000983560491</c:v>
                </c:pt>
              </c:numCache>
            </c:numRef>
          </c:val>
          <c:smooth val="0"/>
          <c:extLst xmlns:c16r2="http://schemas.microsoft.com/office/drawing/2015/06/chart">
            <c:ext xmlns:c16="http://schemas.microsoft.com/office/drawing/2014/chart" uri="{C3380CC4-5D6E-409C-BE32-E72D297353CC}">
              <c16:uniqueId val="{00000001-CD3A-43E4-BE72-B2BD684CD871}"/>
            </c:ext>
          </c:extLst>
        </c:ser>
        <c:ser>
          <c:idx val="2"/>
          <c:order val="2"/>
          <c:tx>
            <c:strRef>
              <c:f>Ratios!$A$70</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Ratios!$B$66:$H$66</c:f>
              <c:strCache>
                <c:ptCount val="7"/>
                <c:pt idx="4">
                  <c:v>N</c:v>
                </c:pt>
                <c:pt idx="5">
                  <c:v>N-1</c:v>
                </c:pt>
                <c:pt idx="6">
                  <c:v>N-2</c:v>
                </c:pt>
              </c:strCache>
            </c:strRef>
          </c:cat>
          <c:val>
            <c:numRef>
              <c:f>Ratios!$B$70:$H$70</c:f>
              <c:numCache>
                <c:formatCode>General</c:formatCode>
                <c:ptCount val="7"/>
              </c:numCache>
            </c:numRef>
          </c:val>
          <c:smooth val="0"/>
          <c:extLst xmlns:c16r2="http://schemas.microsoft.com/office/drawing/2015/06/chart">
            <c:ext xmlns:c16="http://schemas.microsoft.com/office/drawing/2014/chart" uri="{C3380CC4-5D6E-409C-BE32-E72D297353CC}">
              <c16:uniqueId val="{00000002-CD3A-43E4-BE72-B2BD684CD871}"/>
            </c:ext>
          </c:extLst>
        </c:ser>
        <c:dLbls>
          <c:showLegendKey val="0"/>
          <c:showVal val="0"/>
          <c:showCatName val="0"/>
          <c:showSerName val="0"/>
          <c:showPercent val="0"/>
          <c:showBubbleSize val="0"/>
        </c:dLbls>
        <c:marker val="1"/>
        <c:smooth val="0"/>
        <c:axId val="471208800"/>
        <c:axId val="471205664"/>
      </c:lineChart>
      <c:catAx>
        <c:axId val="4712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1205664"/>
        <c:crosses val="autoZero"/>
        <c:auto val="1"/>
        <c:lblAlgn val="ctr"/>
        <c:lblOffset val="100"/>
        <c:noMultiLvlLbl val="0"/>
      </c:catAx>
      <c:valAx>
        <c:axId val="47120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120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a:t>EFFICIENCY RATIOS </a:t>
            </a:r>
          </a:p>
        </c:rich>
      </c:tx>
      <c:overlay val="0"/>
      <c:spPr>
        <a:noFill/>
        <a:ln>
          <a:noFill/>
        </a:ln>
        <a:effectLst/>
      </c:sp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Ratios!$A$93</c:f>
              <c:strCache>
                <c:ptCount val="1"/>
                <c:pt idx="0">
                  <c:v>Average Collection Days :(Sundry Debtors/Operating Income * 365 Days)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sp3d/>
          </c:spPr>
          <c:cat>
            <c:strRef>
              <c:f>Ratios!$B$92:$H$92</c:f>
              <c:strCache>
                <c:ptCount val="7"/>
                <c:pt idx="4">
                  <c:v>N</c:v>
                </c:pt>
                <c:pt idx="5">
                  <c:v>N-1</c:v>
                </c:pt>
                <c:pt idx="6">
                  <c:v>N-2</c:v>
                </c:pt>
              </c:strCache>
            </c:strRef>
          </c:cat>
          <c:val>
            <c:numRef>
              <c:f>Ratios!$B$93:$H$93</c:f>
              <c:numCache>
                <c:formatCode>General</c:formatCode>
                <c:ptCount val="7"/>
                <c:pt idx="4" formatCode="#,##0">
                  <c:v>28.717082082193173</c:v>
                </c:pt>
                <c:pt idx="5" formatCode="#,##0">
                  <c:v>34.512412637011025</c:v>
                </c:pt>
                <c:pt idx="6" formatCode="0">
                  <c:v>22.915891381828207</c:v>
                </c:pt>
              </c:numCache>
            </c:numRef>
          </c:val>
          <c:extLst xmlns:c16r2="http://schemas.microsoft.com/office/drawing/2015/06/chart">
            <c:ext xmlns:c16="http://schemas.microsoft.com/office/drawing/2014/chart" uri="{C3380CC4-5D6E-409C-BE32-E72D297353CC}">
              <c16:uniqueId val="{00000000-4FEC-489E-AB75-A9DBDD9428E2}"/>
            </c:ext>
          </c:extLst>
        </c:ser>
        <c:ser>
          <c:idx val="1"/>
          <c:order val="1"/>
          <c:tx>
            <c:strRef>
              <c:f>Ratios!$A$94</c:f>
              <c:strCache>
                <c:ptCount val="1"/>
                <c:pt idx="0">
                  <c:v> Average Payment Days : (Sundry Creditors/Purchases * 365)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cat>
            <c:strRef>
              <c:f>Ratios!$B$92:$H$92</c:f>
              <c:strCache>
                <c:ptCount val="7"/>
                <c:pt idx="4">
                  <c:v>N</c:v>
                </c:pt>
                <c:pt idx="5">
                  <c:v>N-1</c:v>
                </c:pt>
                <c:pt idx="6">
                  <c:v>N-2</c:v>
                </c:pt>
              </c:strCache>
            </c:strRef>
          </c:cat>
          <c:val>
            <c:numRef>
              <c:f>Ratios!$B$94:$H$94</c:f>
              <c:numCache>
                <c:formatCode>General</c:formatCode>
                <c:ptCount val="7"/>
                <c:pt idx="4" formatCode="#,##0">
                  <c:v>12.363329542109284</c:v>
                </c:pt>
                <c:pt idx="5" formatCode="#,##0">
                  <c:v>29.471721693767261</c:v>
                </c:pt>
                <c:pt idx="6" formatCode="0">
                  <c:v>12.50188897177371</c:v>
                </c:pt>
              </c:numCache>
            </c:numRef>
          </c:val>
          <c:extLst xmlns:c16r2="http://schemas.microsoft.com/office/drawing/2015/06/chart">
            <c:ext xmlns:c16="http://schemas.microsoft.com/office/drawing/2014/chart" uri="{C3380CC4-5D6E-409C-BE32-E72D297353CC}">
              <c16:uniqueId val="{00000001-4FEC-489E-AB75-A9DBDD9428E2}"/>
            </c:ext>
          </c:extLst>
        </c:ser>
        <c:ser>
          <c:idx val="2"/>
          <c:order val="2"/>
          <c:tx>
            <c:strRef>
              <c:f>Ratios!$A$95</c:f>
              <c:strCache>
                <c:ptCount val="1"/>
                <c:pt idx="0">
                  <c:v>Account Receivables Turnover: (Operating Income/Sundry Debtors)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sp3d/>
          </c:spPr>
          <c:cat>
            <c:strRef>
              <c:f>Ratios!$B$92:$H$92</c:f>
              <c:strCache>
                <c:ptCount val="7"/>
                <c:pt idx="4">
                  <c:v>N</c:v>
                </c:pt>
                <c:pt idx="5">
                  <c:v>N-1</c:v>
                </c:pt>
                <c:pt idx="6">
                  <c:v>N-2</c:v>
                </c:pt>
              </c:strCache>
            </c:strRef>
          </c:cat>
          <c:val>
            <c:numRef>
              <c:f>Ratios!$B$95:$H$95</c:f>
              <c:numCache>
                <c:formatCode>General</c:formatCode>
                <c:ptCount val="7"/>
                <c:pt idx="4" formatCode="#,##0">
                  <c:v>12.710204990719737</c:v>
                </c:pt>
                <c:pt idx="5" formatCode="#,##0">
                  <c:v>10.575905076209448</c:v>
                </c:pt>
                <c:pt idx="6" formatCode="0">
                  <c:v>15.927811574872312</c:v>
                </c:pt>
              </c:numCache>
            </c:numRef>
          </c:val>
          <c:extLst xmlns:c16r2="http://schemas.microsoft.com/office/drawing/2015/06/chart">
            <c:ext xmlns:c16="http://schemas.microsoft.com/office/drawing/2014/chart" uri="{C3380CC4-5D6E-409C-BE32-E72D297353CC}">
              <c16:uniqueId val="{00000002-4FEC-489E-AB75-A9DBDD9428E2}"/>
            </c:ext>
          </c:extLst>
        </c:ser>
        <c:ser>
          <c:idx val="3"/>
          <c:order val="3"/>
          <c:tx>
            <c:strRef>
              <c:f>Ratios!$A$96</c:f>
              <c:strCache>
                <c:ptCount val="1"/>
                <c:pt idx="0">
                  <c:v>Inventory Turnover: (Operating Income / Inventories)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cat>
            <c:strRef>
              <c:f>Ratios!$B$92:$H$92</c:f>
              <c:strCache>
                <c:ptCount val="7"/>
                <c:pt idx="4">
                  <c:v>N</c:v>
                </c:pt>
                <c:pt idx="5">
                  <c:v>N-1</c:v>
                </c:pt>
                <c:pt idx="6">
                  <c:v>N-2</c:v>
                </c:pt>
              </c:strCache>
            </c:strRef>
          </c:cat>
          <c:val>
            <c:numRef>
              <c:f>Ratios!$B$96:$H$96</c:f>
              <c:numCache>
                <c:formatCode>General</c:formatCode>
                <c:ptCount val="7"/>
                <c:pt idx="4" formatCode="#,##0">
                  <c:v>5.8904505399980884</c:v>
                </c:pt>
                <c:pt idx="5" formatCode="#,##0">
                  <c:v>5.0543599141010018</c:v>
                </c:pt>
                <c:pt idx="6" formatCode="0">
                  <c:v>12.666347596626482</c:v>
                </c:pt>
              </c:numCache>
            </c:numRef>
          </c:val>
          <c:extLst xmlns:c16r2="http://schemas.microsoft.com/office/drawing/2015/06/chart">
            <c:ext xmlns:c16="http://schemas.microsoft.com/office/drawing/2014/chart" uri="{C3380CC4-5D6E-409C-BE32-E72D297353CC}">
              <c16:uniqueId val="{00000003-4FEC-489E-AB75-A9DBDD9428E2}"/>
            </c:ext>
          </c:extLst>
        </c:ser>
        <c:ser>
          <c:idx val="4"/>
          <c:order val="4"/>
          <c:tx>
            <c:strRef>
              <c:f>Ratios!$A$97</c:f>
              <c:strCache>
                <c:ptCount val="1"/>
                <c:pt idx="0">
                  <c:v>Asset Turnover: (Operating Income / Net Fixed Assets)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sp3d/>
          </c:spPr>
          <c:cat>
            <c:strRef>
              <c:f>Ratios!$B$92:$H$92</c:f>
              <c:strCache>
                <c:ptCount val="7"/>
                <c:pt idx="4">
                  <c:v>N</c:v>
                </c:pt>
                <c:pt idx="5">
                  <c:v>N-1</c:v>
                </c:pt>
                <c:pt idx="6">
                  <c:v>N-2</c:v>
                </c:pt>
              </c:strCache>
            </c:strRef>
          </c:cat>
          <c:val>
            <c:numRef>
              <c:f>Ratios!$B$97:$H$97</c:f>
              <c:numCache>
                <c:formatCode>General</c:formatCode>
                <c:ptCount val="7"/>
                <c:pt idx="4" formatCode="#,##0">
                  <c:v>60.128569756097562</c:v>
                </c:pt>
                <c:pt idx="5" formatCode="#,##0">
                  <c:v>38.63351934651763</c:v>
                </c:pt>
                <c:pt idx="6" formatCode="0">
                  <c:v>47.883129584352076</c:v>
                </c:pt>
              </c:numCache>
            </c:numRef>
          </c:val>
          <c:extLst xmlns:c16r2="http://schemas.microsoft.com/office/drawing/2015/06/chart">
            <c:ext xmlns:c16="http://schemas.microsoft.com/office/drawing/2014/chart" uri="{C3380CC4-5D6E-409C-BE32-E72D297353CC}">
              <c16:uniqueId val="{00000004-4FEC-489E-AB75-A9DBDD9428E2}"/>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bandFmt>
          <c:band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sp3d/>
            </c:spPr>
          </c:bandFmt>
          <c:bandFmt>
            <c:idx val="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bandFmt>
          <c:bandFmt>
            <c:idx val="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sp3d/>
            </c:spPr>
          </c:bandFmt>
          <c:band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bandFmt>
          <c:bandFmt>
            <c:idx val="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sp3d/>
            </c:spPr>
          </c:bandFmt>
          <c:bandFmt>
            <c:idx val="1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sp3d/>
            </c:spPr>
          </c:bandFmt>
          <c:bandFmt>
            <c:idx val="1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sp3d/>
            </c:spPr>
          </c:bandFmt>
          <c:bandFmt>
            <c:idx val="1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sp3d/>
            </c:spPr>
          </c:bandFmt>
          <c:bandFmt>
            <c:idx val="1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sp3d/>
            </c:spPr>
          </c:bandFmt>
        </c:bandFmts>
        <c:axId val="471206056"/>
        <c:axId val="471207232"/>
        <c:axId val="471606352"/>
      </c:surface3DChart>
      <c:catAx>
        <c:axId val="4712060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471207232"/>
        <c:crosses val="autoZero"/>
        <c:auto val="1"/>
        <c:lblAlgn val="ctr"/>
        <c:lblOffset val="100"/>
        <c:noMultiLvlLbl val="0"/>
      </c:catAx>
      <c:valAx>
        <c:axId val="4712072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471206056"/>
        <c:crosses val="autoZero"/>
        <c:crossBetween val="midCat"/>
      </c:valAx>
      <c:serAx>
        <c:axId val="471606352"/>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471207232"/>
        <c:crosses val="autoZero"/>
      </c:serAx>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fr-FR"/>
          </a:p>
        </c:txPr>
      </c:legendEntry>
      <c:legendEntry>
        <c:idx val="1"/>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fr-FR"/>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fr-FR"/>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LEVERAGE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4"/>
          <c:order val="4"/>
          <c:tx>
            <c:strRef>
              <c:f>Ratios!$F$122</c:f>
              <c:strCache>
                <c:ptCount val="1"/>
                <c:pt idx="0">
                  <c:v>N</c:v>
                </c:pt>
              </c:strCache>
            </c:strRef>
          </c:tx>
          <c:spPr>
            <a:ln w="28575" cap="rnd">
              <a:solidFill>
                <a:schemeClr val="accent5"/>
              </a:solidFill>
              <a:round/>
            </a:ln>
            <a:effectLst/>
          </c:spPr>
          <c:marker>
            <c:symbol val="none"/>
          </c:marker>
          <c:cat>
            <c:strRef>
              <c:f>Ratios!$A$123:$A$126</c:f>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f>Ratios!$F$123:$F$126</c:f>
              <c:numCache>
                <c:formatCode>0.00%</c:formatCode>
                <c:ptCount val="4"/>
                <c:pt idx="0">
                  <c:v>0.10549231801645886</c:v>
                </c:pt>
                <c:pt idx="1">
                  <c:v>0</c:v>
                </c:pt>
                <c:pt idx="2">
                  <c:v>1.7483730731707317</c:v>
                </c:pt>
                <c:pt idx="3">
                  <c:v>0</c:v>
                </c:pt>
              </c:numCache>
            </c:numRef>
          </c:val>
          <c:extLst xmlns:c16r2="http://schemas.microsoft.com/office/drawing/2015/06/chart">
            <c:ext xmlns:c16="http://schemas.microsoft.com/office/drawing/2014/chart" uri="{C3380CC4-5D6E-409C-BE32-E72D297353CC}">
              <c16:uniqueId val="{00000004-94C3-4DF8-A56A-4B4991D7BDF9}"/>
            </c:ext>
          </c:extLst>
        </c:ser>
        <c:ser>
          <c:idx val="5"/>
          <c:order val="5"/>
          <c:tx>
            <c:strRef>
              <c:f>Ratios!$G$122</c:f>
              <c:strCache>
                <c:ptCount val="1"/>
                <c:pt idx="0">
                  <c:v>N-1</c:v>
                </c:pt>
              </c:strCache>
            </c:strRef>
          </c:tx>
          <c:spPr>
            <a:ln w="28575" cap="rnd">
              <a:solidFill>
                <a:schemeClr val="accent6"/>
              </a:solidFill>
              <a:round/>
            </a:ln>
            <a:effectLst/>
          </c:spPr>
          <c:marker>
            <c:symbol val="none"/>
          </c:marker>
          <c:cat>
            <c:strRef>
              <c:f>Ratios!$A$123:$A$126</c:f>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f>Ratios!$G$123:$G$126</c:f>
              <c:numCache>
                <c:formatCode>0.00%</c:formatCode>
                <c:ptCount val="4"/>
                <c:pt idx="0">
                  <c:v>0.19504704169833659</c:v>
                </c:pt>
                <c:pt idx="1">
                  <c:v>0</c:v>
                </c:pt>
                <c:pt idx="2">
                  <c:v>2.5803097162510746</c:v>
                </c:pt>
                <c:pt idx="3">
                  <c:v>0</c:v>
                </c:pt>
              </c:numCache>
            </c:numRef>
          </c:val>
          <c:extLst xmlns:c16r2="http://schemas.microsoft.com/office/drawing/2015/06/chart">
            <c:ext xmlns:c16="http://schemas.microsoft.com/office/drawing/2014/chart" uri="{C3380CC4-5D6E-409C-BE32-E72D297353CC}">
              <c16:uniqueId val="{00000005-94C3-4DF8-A56A-4B4991D7BDF9}"/>
            </c:ext>
          </c:extLst>
        </c:ser>
        <c:ser>
          <c:idx val="6"/>
          <c:order val="6"/>
          <c:tx>
            <c:strRef>
              <c:f>Ratios!$H$122</c:f>
              <c:strCache>
                <c:ptCount val="1"/>
                <c:pt idx="0">
                  <c:v>N-2</c:v>
                </c:pt>
              </c:strCache>
            </c:strRef>
          </c:tx>
          <c:spPr>
            <a:ln w="28575" cap="rnd">
              <a:solidFill>
                <a:schemeClr val="accent1">
                  <a:lumMod val="60000"/>
                </a:schemeClr>
              </a:solidFill>
              <a:round/>
            </a:ln>
            <a:effectLst/>
          </c:spPr>
          <c:marker>
            <c:symbol val="none"/>
          </c:marker>
          <c:cat>
            <c:strRef>
              <c:f>Ratios!$A$123:$A$126</c:f>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f>Ratios!$H$123:$H$126</c:f>
              <c:numCache>
                <c:formatCode>0%</c:formatCode>
                <c:ptCount val="4"/>
                <c:pt idx="0">
                  <c:v>0.16388610640968074</c:v>
                </c:pt>
                <c:pt idx="1">
                  <c:v>0</c:v>
                </c:pt>
                <c:pt idx="2">
                  <c:v>1.3920782396088021</c:v>
                </c:pt>
                <c:pt idx="3">
                  <c:v>0</c:v>
                </c:pt>
              </c:numCache>
            </c:numRef>
          </c:val>
          <c:extLst xmlns:c16r2="http://schemas.microsoft.com/office/drawing/2015/06/chart">
            <c:ext xmlns:c16="http://schemas.microsoft.com/office/drawing/2014/chart" uri="{C3380CC4-5D6E-409C-BE32-E72D297353CC}">
              <c16:uniqueId val="{00000006-94C3-4DF8-A56A-4B4991D7BDF9}"/>
            </c:ext>
          </c:extLst>
        </c:ser>
        <c:dLbls>
          <c:showLegendKey val="0"/>
          <c:showVal val="0"/>
          <c:showCatName val="0"/>
          <c:showSerName val="0"/>
          <c:showPercent val="0"/>
          <c:showBubbleSize val="0"/>
        </c:dLbls>
        <c:axId val="471208408"/>
        <c:axId val="471202528"/>
        <c:extLst xmlns:c16r2="http://schemas.microsoft.com/office/drawing/2015/06/chart">
          <c:ext xmlns:c15="http://schemas.microsoft.com/office/drawing/2012/chart" uri="{02D57815-91ED-43cb-92C2-25804820EDAC}">
            <c15:filteredRadarSeries>
              <c15:ser>
                <c:idx val="0"/>
                <c:order val="0"/>
                <c:tx>
                  <c:strRef>
                    <c:extLst xmlns:c16r2="http://schemas.microsoft.com/office/drawing/2015/06/chart">
                      <c:ext uri="{02D57815-91ED-43cb-92C2-25804820EDAC}">
                        <c15:formulaRef>
                          <c15:sqref>Ratios!$B$122</c15:sqref>
                        </c15:formulaRef>
                      </c:ext>
                    </c:extLst>
                    <c:strCache>
                      <c:ptCount val="1"/>
                    </c:strCache>
                  </c:strRef>
                </c:tx>
                <c:spPr>
                  <a:ln w="28575" cap="rnd">
                    <a:solidFill>
                      <a:schemeClr val="accent1"/>
                    </a:solidFill>
                    <a:round/>
                  </a:ln>
                  <a:effectLst/>
                </c:spPr>
                <c:marker>
                  <c:symbol val="none"/>
                </c:marker>
                <c:cat>
                  <c:strRef>
                    <c:extLst xmlns:c16r2="http://schemas.microsoft.com/office/drawing/2015/06/chart">
                      <c:ext uri="{02D57815-91ED-43cb-92C2-25804820EDAC}">
                        <c15:formulaRef>
                          <c15:sqref>Ratios!$A$123:$A$126</c15:sqref>
                        </c15:formulaRef>
                      </c:ext>
                    </c:extLst>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extLst xmlns:c16r2="http://schemas.microsoft.com/office/drawing/2015/06/chart">
                      <c:ext uri="{02D57815-91ED-43cb-92C2-25804820EDAC}">
                        <c15:formulaRef>
                          <c15:sqref>Ratios!$B$123:$B$126</c15:sqref>
                        </c15:formulaRef>
                      </c:ext>
                    </c:extLst>
                    <c:numCache>
                      <c:formatCode>General</c:formatCode>
                      <c:ptCount val="4"/>
                    </c:numCache>
                  </c:numRef>
                </c:val>
                <c:extLst xmlns:c16r2="http://schemas.microsoft.com/office/drawing/2015/06/chart">
                  <c:ext xmlns:c16="http://schemas.microsoft.com/office/drawing/2014/chart" uri="{C3380CC4-5D6E-409C-BE32-E72D297353CC}">
                    <c16:uniqueId val="{00000000-94C3-4DF8-A56A-4B4991D7BDF9}"/>
                  </c:ext>
                </c:extLst>
              </c15:ser>
            </c15:filteredRadarSeries>
            <c15:filteredRadarSeries>
              <c15:ser>
                <c:idx val="1"/>
                <c:order val="1"/>
                <c:tx>
                  <c:strRef>
                    <c:extLst xmlns:c15="http://schemas.microsoft.com/office/drawing/2012/chart" xmlns:c16r2="http://schemas.microsoft.com/office/drawing/2015/06/chart">
                      <c:ext xmlns:c15="http://schemas.microsoft.com/office/drawing/2012/chart" uri="{02D57815-91ED-43cb-92C2-25804820EDAC}">
                        <c15:formulaRef>
                          <c15:sqref>Ratios!$C$122</c15:sqref>
                        </c15:formulaRef>
                      </c:ext>
                    </c:extLst>
                    <c:strCache>
                      <c:ptCount val="1"/>
                    </c:strCache>
                  </c:strRef>
                </c:tx>
                <c:spPr>
                  <a:ln w="28575" cap="rnd">
                    <a:solidFill>
                      <a:schemeClr val="accent2"/>
                    </a:solidFill>
                    <a:round/>
                  </a:ln>
                  <a:effectLst/>
                </c:spPr>
                <c:marker>
                  <c:symbol val="none"/>
                </c:marker>
                <c:cat>
                  <c:strRef>
                    <c:extLst xmlns:c15="http://schemas.microsoft.com/office/drawing/2012/chart" xmlns:c16r2="http://schemas.microsoft.com/office/drawing/2015/06/chart">
                      <c:ext xmlns:c15="http://schemas.microsoft.com/office/drawing/2012/chart" uri="{02D57815-91ED-43cb-92C2-25804820EDAC}">
                        <c15:formulaRef>
                          <c15:sqref>Ratios!$A$123:$A$126</c15:sqref>
                        </c15:formulaRef>
                      </c:ext>
                    </c:extLst>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extLst xmlns:c15="http://schemas.microsoft.com/office/drawing/2012/chart" xmlns:c16r2="http://schemas.microsoft.com/office/drawing/2015/06/chart">
                      <c:ext xmlns:c15="http://schemas.microsoft.com/office/drawing/2012/chart" uri="{02D57815-91ED-43cb-92C2-25804820EDAC}">
                        <c15:formulaRef>
                          <c15:sqref>Ratios!$C$123:$C$126</c15:sqref>
                        </c15:formulaRef>
                      </c:ext>
                    </c:extLst>
                    <c:numCache>
                      <c:formatCode>General</c:formatCode>
                      <c:ptCount val="4"/>
                    </c:numCache>
                  </c:numRef>
                </c:val>
                <c:extLst xmlns:c15="http://schemas.microsoft.com/office/drawing/2012/chart" xmlns:c16r2="http://schemas.microsoft.com/office/drawing/2015/06/chart">
                  <c:ext xmlns:c16="http://schemas.microsoft.com/office/drawing/2014/chart" uri="{C3380CC4-5D6E-409C-BE32-E72D297353CC}">
                    <c16:uniqueId val="{00000001-94C3-4DF8-A56A-4B4991D7BDF9}"/>
                  </c:ext>
                </c:extLst>
              </c15:ser>
            </c15:filteredRadarSeries>
            <c15:filteredRadarSeries>
              <c15:ser>
                <c:idx val="2"/>
                <c:order val="2"/>
                <c:tx>
                  <c:strRef>
                    <c:extLst xmlns:c15="http://schemas.microsoft.com/office/drawing/2012/chart" xmlns:c16r2="http://schemas.microsoft.com/office/drawing/2015/06/chart">
                      <c:ext xmlns:c15="http://schemas.microsoft.com/office/drawing/2012/chart" uri="{02D57815-91ED-43cb-92C2-25804820EDAC}">
                        <c15:formulaRef>
                          <c15:sqref>Ratios!$D$122</c15:sqref>
                        </c15:formulaRef>
                      </c:ext>
                    </c:extLst>
                    <c:strCache>
                      <c:ptCount val="1"/>
                    </c:strCache>
                  </c:strRef>
                </c:tx>
                <c:spPr>
                  <a:ln w="28575" cap="rnd">
                    <a:solidFill>
                      <a:schemeClr val="accent3"/>
                    </a:solidFill>
                    <a:round/>
                  </a:ln>
                  <a:effectLst/>
                </c:spPr>
                <c:marker>
                  <c:symbol val="none"/>
                </c:marker>
                <c:cat>
                  <c:strRef>
                    <c:extLst xmlns:c15="http://schemas.microsoft.com/office/drawing/2012/chart" xmlns:c16r2="http://schemas.microsoft.com/office/drawing/2015/06/chart">
                      <c:ext xmlns:c15="http://schemas.microsoft.com/office/drawing/2012/chart" uri="{02D57815-91ED-43cb-92C2-25804820EDAC}">
                        <c15:formulaRef>
                          <c15:sqref>Ratios!$A$123:$A$126</c15:sqref>
                        </c15:formulaRef>
                      </c:ext>
                    </c:extLst>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extLst xmlns:c15="http://schemas.microsoft.com/office/drawing/2012/chart" xmlns:c16r2="http://schemas.microsoft.com/office/drawing/2015/06/chart">
                      <c:ext xmlns:c15="http://schemas.microsoft.com/office/drawing/2012/chart" uri="{02D57815-91ED-43cb-92C2-25804820EDAC}">
                        <c15:formulaRef>
                          <c15:sqref>Ratios!$D$123:$D$126</c15:sqref>
                        </c15:formulaRef>
                      </c:ext>
                    </c:extLst>
                    <c:numCache>
                      <c:formatCode>General</c:formatCode>
                      <c:ptCount val="4"/>
                    </c:numCache>
                  </c:numRef>
                </c:val>
                <c:extLst xmlns:c15="http://schemas.microsoft.com/office/drawing/2012/chart" xmlns:c16r2="http://schemas.microsoft.com/office/drawing/2015/06/chart">
                  <c:ext xmlns:c16="http://schemas.microsoft.com/office/drawing/2014/chart" uri="{C3380CC4-5D6E-409C-BE32-E72D297353CC}">
                    <c16:uniqueId val="{00000002-94C3-4DF8-A56A-4B4991D7BDF9}"/>
                  </c:ext>
                </c:extLst>
              </c15:ser>
            </c15:filteredRadarSeries>
            <c15:filteredRadarSeries>
              <c15:ser>
                <c:idx val="3"/>
                <c:order val="3"/>
                <c:tx>
                  <c:strRef>
                    <c:extLst xmlns:c15="http://schemas.microsoft.com/office/drawing/2012/chart" xmlns:c16r2="http://schemas.microsoft.com/office/drawing/2015/06/chart">
                      <c:ext xmlns:c15="http://schemas.microsoft.com/office/drawing/2012/chart" uri="{02D57815-91ED-43cb-92C2-25804820EDAC}">
                        <c15:formulaRef>
                          <c15:sqref>Ratios!$E$122</c15:sqref>
                        </c15:formulaRef>
                      </c:ext>
                    </c:extLst>
                    <c:strCache>
                      <c:ptCount val="1"/>
                    </c:strCache>
                  </c:strRef>
                </c:tx>
                <c:spPr>
                  <a:ln w="28575" cap="rnd">
                    <a:solidFill>
                      <a:schemeClr val="accent4"/>
                    </a:solidFill>
                    <a:round/>
                  </a:ln>
                  <a:effectLst/>
                </c:spPr>
                <c:marker>
                  <c:symbol val="none"/>
                </c:marker>
                <c:cat>
                  <c:strRef>
                    <c:extLst xmlns:c15="http://schemas.microsoft.com/office/drawing/2012/chart" xmlns:c16r2="http://schemas.microsoft.com/office/drawing/2015/06/chart">
                      <c:ext xmlns:c15="http://schemas.microsoft.com/office/drawing/2012/chart" uri="{02D57815-91ED-43cb-92C2-25804820EDAC}">
                        <c15:formulaRef>
                          <c15:sqref>Ratios!$A$123:$A$126</c15:sqref>
                        </c15:formulaRef>
                      </c:ext>
                    </c:extLst>
                    <c:strCache>
                      <c:ptCount val="4"/>
                      <c:pt idx="0">
                        <c:v>Debt ratio: ((Borrowing + Current liab.)/Total assets)</c:v>
                      </c:pt>
                      <c:pt idx="1">
                        <c:v>Debt Equity Ratio: (Borrowings / Net Worth)</c:v>
                      </c:pt>
                      <c:pt idx="2">
                        <c:v>Current Liabilities To Net Worth: (Current Liabilities / Net Worth)</c:v>
                      </c:pt>
                      <c:pt idx="3">
                        <c:v>Interest Coverage Ratio (PBIT / Financial Charges)</c:v>
                      </c:pt>
                    </c:strCache>
                  </c:strRef>
                </c:cat>
                <c:val>
                  <c:numRef>
                    <c:extLst xmlns:c15="http://schemas.microsoft.com/office/drawing/2012/chart" xmlns:c16r2="http://schemas.microsoft.com/office/drawing/2015/06/chart">
                      <c:ext xmlns:c15="http://schemas.microsoft.com/office/drawing/2012/chart" uri="{02D57815-91ED-43cb-92C2-25804820EDAC}">
                        <c15:formulaRef>
                          <c15:sqref>Ratios!$E$123:$E$126</c15:sqref>
                        </c15:formulaRef>
                      </c:ext>
                    </c:extLst>
                    <c:numCache>
                      <c:formatCode>General</c:formatCode>
                      <c:ptCount val="4"/>
                    </c:numCache>
                  </c:numRef>
                </c:val>
                <c:extLst xmlns:c15="http://schemas.microsoft.com/office/drawing/2012/chart" xmlns:c16r2="http://schemas.microsoft.com/office/drawing/2015/06/chart">
                  <c:ext xmlns:c16="http://schemas.microsoft.com/office/drawing/2014/chart" uri="{C3380CC4-5D6E-409C-BE32-E72D297353CC}">
                    <c16:uniqueId val="{00000003-94C3-4DF8-A56A-4B4991D7BDF9}"/>
                  </c:ext>
                </c:extLst>
              </c15:ser>
            </c15:filteredRadarSeries>
          </c:ext>
        </c:extLst>
      </c:radarChart>
      <c:catAx>
        <c:axId val="47120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1202528"/>
        <c:crosses val="autoZero"/>
        <c:auto val="1"/>
        <c:lblAlgn val="ctr"/>
        <c:lblOffset val="100"/>
        <c:noMultiLvlLbl val="0"/>
      </c:catAx>
      <c:valAx>
        <c:axId val="471202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12084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SOLVENCY RATIOS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areaChart>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Ratios!$A$147:$H$147</c:f>
              <c:strCache>
                <c:ptCount val="8"/>
                <c:pt idx="0">
                  <c:v>SOLVENCY RATIOS</c:v>
                </c:pt>
                <c:pt idx="5">
                  <c:v>N</c:v>
                </c:pt>
                <c:pt idx="6">
                  <c:v>N-1</c:v>
                </c:pt>
                <c:pt idx="7">
                  <c:v>N-2</c:v>
                </c:pt>
              </c:strCache>
            </c:strRef>
          </c:cat>
          <c:val>
            <c:numRef>
              <c:f>Ratios!$A$148:$H$148</c:f>
              <c:numCache>
                <c:formatCode>General</c:formatCode>
                <c:ptCount val="8"/>
                <c:pt idx="0">
                  <c:v>0</c:v>
                </c:pt>
                <c:pt idx="5" formatCode="0.00%">
                  <c:v>8.5442499742199356</c:v>
                </c:pt>
                <c:pt idx="6" formatCode="0.00%">
                  <c:v>4.3779930435540644</c:v>
                </c:pt>
                <c:pt idx="7" formatCode="0%">
                  <c:v>2.1595475621750739</c:v>
                </c:pt>
              </c:numCache>
            </c:numRef>
          </c:val>
          <c:extLst xmlns:c16r2="http://schemas.microsoft.com/office/drawing/2015/06/chart">
            <c:ext xmlns:c16="http://schemas.microsoft.com/office/drawing/2014/chart" uri="{C3380CC4-5D6E-409C-BE32-E72D297353CC}">
              <c16:uniqueId val="{00000000-72C9-45A9-B49A-082340FDCBF3}"/>
            </c:ext>
          </c:extLst>
        </c:ser>
        <c:dLbls>
          <c:showLegendKey val="0"/>
          <c:showVal val="0"/>
          <c:showCatName val="0"/>
          <c:showSerName val="0"/>
          <c:showPercent val="0"/>
          <c:showBubbleSize val="0"/>
        </c:dLbls>
        <c:axId val="471202920"/>
        <c:axId val="471203312"/>
      </c:areaChart>
      <c:barChart>
        <c:barDir val="col"/>
        <c:grouping val="percentStacked"/>
        <c:varyColors val="0"/>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Ratios!$A$147:$H$147</c:f>
              <c:strCache>
                <c:ptCount val="8"/>
                <c:pt idx="0">
                  <c:v>SOLVENCY RATIOS</c:v>
                </c:pt>
                <c:pt idx="5">
                  <c:v>N</c:v>
                </c:pt>
                <c:pt idx="6">
                  <c:v>N-1</c:v>
                </c:pt>
                <c:pt idx="7">
                  <c:v>N-2</c:v>
                </c:pt>
              </c:strCache>
            </c:strRef>
          </c:cat>
          <c:val>
            <c:numRef>
              <c:f>Ratios!$A$150:$H$150</c:f>
              <c:numCache>
                <c:formatCode>General</c:formatCode>
                <c:ptCount val="8"/>
                <c:pt idx="0">
                  <c:v>0</c:v>
                </c:pt>
                <c:pt idx="5" formatCode="0.00%">
                  <c:v>3.531946455691732E-2</c:v>
                </c:pt>
                <c:pt idx="6" formatCode="0.00%">
                  <c:v>3.8997706427891854E-2</c:v>
                </c:pt>
                <c:pt idx="7" formatCode="0%">
                  <c:v>3.4541121204794308E-2</c:v>
                </c:pt>
              </c:numCache>
            </c:numRef>
          </c:val>
          <c:extLst xmlns:c16r2="http://schemas.microsoft.com/office/drawing/2015/06/chart">
            <c:ext xmlns:c16="http://schemas.microsoft.com/office/drawing/2014/chart" uri="{C3380CC4-5D6E-409C-BE32-E72D297353CC}">
              <c16:uniqueId val="{00000002-72C9-45A9-B49A-082340FDCBF3}"/>
            </c:ext>
          </c:extLst>
        </c:ser>
        <c:dLbls>
          <c:showLegendKey val="0"/>
          <c:showVal val="0"/>
          <c:showCatName val="0"/>
          <c:showSerName val="0"/>
          <c:showPercent val="0"/>
          <c:showBubbleSize val="0"/>
        </c:dLbls>
        <c:gapWidth val="219"/>
        <c:overlap val="100"/>
        <c:axId val="471202920"/>
        <c:axId val="471203312"/>
      </c:barChart>
      <c:lineChart>
        <c:grouping val="stacked"/>
        <c:varyColors val="0"/>
        <c:ser>
          <c:idx val="1"/>
          <c:order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Ratios!$A$147:$H$147</c:f>
              <c:strCache>
                <c:ptCount val="8"/>
                <c:pt idx="0">
                  <c:v>SOLVENCY RATIOS</c:v>
                </c:pt>
                <c:pt idx="5">
                  <c:v>N</c:v>
                </c:pt>
                <c:pt idx="6">
                  <c:v>N-1</c:v>
                </c:pt>
                <c:pt idx="7">
                  <c:v>N-2</c:v>
                </c:pt>
              </c:strCache>
            </c:strRef>
          </c:cat>
          <c:val>
            <c:numRef>
              <c:f>Ratios!$A$149:$H$149</c:f>
              <c:numCache>
                <c:formatCode>General</c:formatCode>
                <c:ptCount val="8"/>
                <c:pt idx="0">
                  <c:v>0</c:v>
                </c:pt>
                <c:pt idx="5" formatCode="0.00%">
                  <c:v>2.7057907605141369</c:v>
                </c:pt>
                <c:pt idx="6" formatCode="0.00%">
                  <c:v>1.4157119253749257</c:v>
                </c:pt>
                <c:pt idx="7" formatCode="0%">
                  <c:v>2.1595475621750739</c:v>
                </c:pt>
              </c:numCache>
            </c:numRef>
          </c:val>
          <c:smooth val="0"/>
          <c:extLst xmlns:c16r2="http://schemas.microsoft.com/office/drawing/2015/06/chart">
            <c:ext xmlns:c16="http://schemas.microsoft.com/office/drawing/2014/chart" uri="{C3380CC4-5D6E-409C-BE32-E72D297353CC}">
              <c16:uniqueId val="{00000001-72C9-45A9-B49A-082340FDCBF3}"/>
            </c:ext>
          </c:extLst>
        </c:ser>
        <c:ser>
          <c:idx val="3"/>
          <c:order val="3"/>
          <c:spPr>
            <a:ln w="34925" cap="rnd">
              <a:solidFill>
                <a:schemeClr val="accent4"/>
              </a:solidFill>
              <a:round/>
            </a:ln>
            <a:effectLst>
              <a:outerShdw blurRad="57150" dist="19050" dir="5400000" algn="ctr" rotWithShape="0">
                <a:srgbClr val="000000">
                  <a:alpha val="63000"/>
                </a:srgbClr>
              </a:outerShdw>
            </a:effectLst>
          </c:spPr>
          <c:marker>
            <c:symbol val="none"/>
          </c:marker>
          <c:cat>
            <c:strRef>
              <c:f>Ratios!$A$147:$H$147</c:f>
              <c:strCache>
                <c:ptCount val="8"/>
                <c:pt idx="0">
                  <c:v>SOLVENCY RATIOS</c:v>
                </c:pt>
                <c:pt idx="5">
                  <c:v>N</c:v>
                </c:pt>
                <c:pt idx="6">
                  <c:v>N-1</c:v>
                </c:pt>
                <c:pt idx="7">
                  <c:v>N-2</c:v>
                </c:pt>
              </c:strCache>
            </c:strRef>
          </c:cat>
          <c:val>
            <c:numRef>
              <c:f>Ratios!$A$151:$H$151</c:f>
              <c:numCache>
                <c:formatCode>General</c:formatCode>
                <c:ptCount val="8"/>
                <c:pt idx="0">
                  <c:v>0</c:v>
                </c:pt>
                <c:pt idx="5" formatCode="0.00%">
                  <c:v>0</c:v>
                </c:pt>
                <c:pt idx="6" formatCode="0.00%">
                  <c:v>0</c:v>
                </c:pt>
                <c:pt idx="7" formatCode="0%">
                  <c:v>0</c:v>
                </c:pt>
              </c:numCache>
            </c:numRef>
          </c:val>
          <c:smooth val="0"/>
          <c:extLst xmlns:c16r2="http://schemas.microsoft.com/office/drawing/2015/06/chart">
            <c:ext xmlns:c16="http://schemas.microsoft.com/office/drawing/2014/chart" uri="{C3380CC4-5D6E-409C-BE32-E72D297353CC}">
              <c16:uniqueId val="{00000003-72C9-45A9-B49A-082340FDCBF3}"/>
            </c:ext>
          </c:extLst>
        </c:ser>
        <c:dLbls>
          <c:showLegendKey val="0"/>
          <c:showVal val="0"/>
          <c:showCatName val="0"/>
          <c:showSerName val="0"/>
          <c:showPercent val="0"/>
          <c:showBubbleSize val="0"/>
        </c:dLbls>
        <c:marker val="1"/>
        <c:smooth val="0"/>
        <c:axId val="471202920"/>
        <c:axId val="471203312"/>
      </c:lineChart>
      <c:lineChart>
        <c:grouping val="stacked"/>
        <c:varyColors val="0"/>
        <c:ser>
          <c:idx val="4"/>
          <c:order val="4"/>
          <c:spPr>
            <a:ln w="34925" cap="rnd">
              <a:solidFill>
                <a:schemeClr val="accent5"/>
              </a:solidFill>
              <a:round/>
            </a:ln>
            <a:effectLst>
              <a:outerShdw blurRad="57150" dist="19050" dir="5400000" algn="ctr" rotWithShape="0">
                <a:srgbClr val="000000">
                  <a:alpha val="63000"/>
                </a:srgbClr>
              </a:outerShdw>
            </a:effectLst>
          </c:spPr>
          <c:marker>
            <c:symbol val="none"/>
          </c:marker>
          <c:cat>
            <c:strRef>
              <c:f>Ratios!$A$147:$H$147</c:f>
              <c:strCache>
                <c:ptCount val="8"/>
                <c:pt idx="0">
                  <c:v>SOLVENCY RATIOS</c:v>
                </c:pt>
                <c:pt idx="5">
                  <c:v>N</c:v>
                </c:pt>
                <c:pt idx="6">
                  <c:v>N-1</c:v>
                </c:pt>
                <c:pt idx="7">
                  <c:v>N-2</c:v>
                </c:pt>
              </c:strCache>
            </c:strRef>
          </c:cat>
          <c:val>
            <c:numRef>
              <c:f>Ratios!$A$152:$H$152</c:f>
              <c:numCache>
                <c:formatCode>General</c:formatCode>
                <c:ptCount val="8"/>
                <c:pt idx="0">
                  <c:v>0</c:v>
                </c:pt>
                <c:pt idx="5" formatCode="0.00%">
                  <c:v>8.5442499742199356</c:v>
                </c:pt>
                <c:pt idx="6" formatCode="0.00%">
                  <c:v>4.3779930435540644</c:v>
                </c:pt>
                <c:pt idx="7" formatCode="0%">
                  <c:v>4.875158072221442</c:v>
                </c:pt>
              </c:numCache>
            </c:numRef>
          </c:val>
          <c:smooth val="0"/>
          <c:extLst xmlns:c16r2="http://schemas.microsoft.com/office/drawing/2015/06/chart">
            <c:ext xmlns:c16="http://schemas.microsoft.com/office/drawing/2014/chart" uri="{C3380CC4-5D6E-409C-BE32-E72D297353CC}">
              <c16:uniqueId val="{00000004-72C9-45A9-B49A-082340FDCBF3}"/>
            </c:ext>
          </c:extLst>
        </c:ser>
        <c:ser>
          <c:idx val="5"/>
          <c:order val="5"/>
          <c:spPr>
            <a:ln w="34925" cap="rnd">
              <a:solidFill>
                <a:schemeClr val="accent6"/>
              </a:solidFill>
              <a:round/>
            </a:ln>
            <a:effectLst>
              <a:outerShdw blurRad="57150" dist="19050" dir="5400000" algn="ctr" rotWithShape="0">
                <a:srgbClr val="000000">
                  <a:alpha val="63000"/>
                </a:srgbClr>
              </a:outerShdw>
            </a:effectLst>
          </c:spPr>
          <c:marker>
            <c:symbol val="none"/>
          </c:marker>
          <c:cat>
            <c:strRef>
              <c:f>Ratios!$A$147:$H$147</c:f>
              <c:strCache>
                <c:ptCount val="8"/>
                <c:pt idx="0">
                  <c:v>SOLVENCY RATIOS</c:v>
                </c:pt>
                <c:pt idx="5">
                  <c:v>N</c:v>
                </c:pt>
                <c:pt idx="6">
                  <c:v>N-1</c:v>
                </c:pt>
                <c:pt idx="7">
                  <c:v>N-2</c:v>
                </c:pt>
              </c:strCache>
            </c:strRef>
          </c:cat>
          <c:val>
            <c:numRef>
              <c:f>Ratios!$A$153:$H$153</c:f>
              <c:numCache>
                <c:formatCode>General</c:formatCode>
                <c:ptCount val="8"/>
              </c:numCache>
            </c:numRef>
          </c:val>
          <c:smooth val="0"/>
          <c:extLst xmlns:c16r2="http://schemas.microsoft.com/office/drawing/2015/06/chart">
            <c:ext xmlns:c16="http://schemas.microsoft.com/office/drawing/2014/chart" uri="{C3380CC4-5D6E-409C-BE32-E72D297353CC}">
              <c16:uniqueId val="{00000005-72C9-45A9-B49A-082340FDCBF3}"/>
            </c:ext>
          </c:extLst>
        </c:ser>
        <c:dLbls>
          <c:showLegendKey val="0"/>
          <c:showVal val="0"/>
          <c:showCatName val="0"/>
          <c:showSerName val="0"/>
          <c:showPercent val="0"/>
          <c:showBubbleSize val="0"/>
        </c:dLbls>
        <c:marker val="1"/>
        <c:smooth val="0"/>
        <c:axId val="471204880"/>
        <c:axId val="471204488"/>
      </c:lineChart>
      <c:catAx>
        <c:axId val="471202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71203312"/>
        <c:crosses val="autoZero"/>
        <c:auto val="1"/>
        <c:lblAlgn val="ctr"/>
        <c:lblOffset val="100"/>
        <c:noMultiLvlLbl val="0"/>
      </c:catAx>
      <c:valAx>
        <c:axId val="471203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71202920"/>
        <c:crosses val="autoZero"/>
        <c:crossBetween val="between"/>
      </c:valAx>
      <c:valAx>
        <c:axId val="471204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71204880"/>
        <c:crosses val="max"/>
        <c:crossBetween val="between"/>
      </c:valAx>
      <c:catAx>
        <c:axId val="471204880"/>
        <c:scaling>
          <c:orientation val="minMax"/>
        </c:scaling>
        <c:delete val="1"/>
        <c:axPos val="b"/>
        <c:numFmt formatCode="General" sourceLinked="1"/>
        <c:majorTickMark val="none"/>
        <c:minorTickMark val="none"/>
        <c:tickLblPos val="nextTo"/>
        <c:crossAx val="471204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174625</xdr:colOff>
      <xdr:row>6</xdr:row>
      <xdr:rowOff>15876</xdr:rowOff>
    </xdr:from>
    <xdr:to>
      <xdr:col>7</xdr:col>
      <xdr:colOff>261937</xdr:colOff>
      <xdr:row>22</xdr:row>
      <xdr:rowOff>373063</xdr:rowOff>
    </xdr:to>
    <xdr:graphicFrame macro="">
      <xdr:nvGraphicFramePr>
        <xdr:cNvPr id="2" name="Graphique 1">
          <a:extLst>
            <a:ext uri="{FF2B5EF4-FFF2-40B4-BE49-F238E27FC236}">
              <a16:creationId xmlns="" xmlns:a16="http://schemas.microsoft.com/office/drawing/2014/main" id="{D7F2178D-7F3B-402A-AF47-B8E42B62B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150813</xdr:colOff>
      <xdr:row>26</xdr:row>
      <xdr:rowOff>45244</xdr:rowOff>
    </xdr:from>
    <xdr:to>
      <xdr:col>6</xdr:col>
      <xdr:colOff>690562</xdr:colOff>
      <xdr:row>38</xdr:row>
      <xdr:rowOff>127000</xdr:rowOff>
    </xdr:to>
    <xdr:graphicFrame macro="">
      <xdr:nvGraphicFramePr>
        <xdr:cNvPr id="3" name="Graphique 2">
          <a:extLst>
            <a:ext uri="{FF2B5EF4-FFF2-40B4-BE49-F238E27FC236}">
              <a16:creationId xmlns="" xmlns:a16="http://schemas.microsoft.com/office/drawing/2014/main" id="{13BB913F-809B-4308-8E9C-2B0279B6F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484186</xdr:colOff>
      <xdr:row>45</xdr:row>
      <xdr:rowOff>140493</xdr:rowOff>
    </xdr:from>
    <xdr:to>
      <xdr:col>7</xdr:col>
      <xdr:colOff>111124</xdr:colOff>
      <xdr:row>62</xdr:row>
      <xdr:rowOff>50006</xdr:rowOff>
    </xdr:to>
    <xdr:graphicFrame macro="">
      <xdr:nvGraphicFramePr>
        <xdr:cNvPr id="4" name="Graphique 3">
          <a:extLst>
            <a:ext uri="{FF2B5EF4-FFF2-40B4-BE49-F238E27FC236}">
              <a16:creationId xmlns="" xmlns:a16="http://schemas.microsoft.com/office/drawing/2014/main" id="{AFEF12D6-A835-4500-8E85-A5D0C8D07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190499</xdr:colOff>
      <xdr:row>70</xdr:row>
      <xdr:rowOff>31751</xdr:rowOff>
    </xdr:from>
    <xdr:to>
      <xdr:col>8</xdr:col>
      <xdr:colOff>55561</xdr:colOff>
      <xdr:row>89</xdr:row>
      <xdr:rowOff>15876</xdr:rowOff>
    </xdr:to>
    <xdr:graphicFrame macro="">
      <xdr:nvGraphicFramePr>
        <xdr:cNvPr id="5" name="Graphique 4">
          <a:extLst>
            <a:ext uri="{FF2B5EF4-FFF2-40B4-BE49-F238E27FC236}">
              <a16:creationId xmlns="" xmlns:a16="http://schemas.microsoft.com/office/drawing/2014/main" id="{BE0E95AF-943C-4231-97B8-236AC775A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87313</xdr:colOff>
      <xdr:row>97</xdr:row>
      <xdr:rowOff>132556</xdr:rowOff>
    </xdr:from>
    <xdr:to>
      <xdr:col>6</xdr:col>
      <xdr:colOff>603250</xdr:colOff>
      <xdr:row>117</xdr:row>
      <xdr:rowOff>158750</xdr:rowOff>
    </xdr:to>
    <xdr:graphicFrame macro="">
      <xdr:nvGraphicFramePr>
        <xdr:cNvPr id="6" name="Graphique 5">
          <a:extLst>
            <a:ext uri="{FF2B5EF4-FFF2-40B4-BE49-F238E27FC236}">
              <a16:creationId xmlns="" xmlns:a16="http://schemas.microsoft.com/office/drawing/2014/main" id="{2D7F8250-D37F-42AD-AA0D-0DFA645DF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182563</xdr:colOff>
      <xdr:row>126</xdr:row>
      <xdr:rowOff>69057</xdr:rowOff>
    </xdr:from>
    <xdr:to>
      <xdr:col>7</xdr:col>
      <xdr:colOff>373062</xdr:colOff>
      <xdr:row>145</xdr:row>
      <xdr:rowOff>15875</xdr:rowOff>
    </xdr:to>
    <xdr:graphicFrame macro="">
      <xdr:nvGraphicFramePr>
        <xdr:cNvPr id="7" name="Graphique 6">
          <a:extLst>
            <a:ext uri="{FF2B5EF4-FFF2-40B4-BE49-F238E27FC236}">
              <a16:creationId xmlns="" xmlns:a16="http://schemas.microsoft.com/office/drawing/2014/main" id="{EC1F7720-E34A-4FBF-BEA0-D7C511F89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500063</xdr:colOff>
      <xdr:row>153</xdr:row>
      <xdr:rowOff>29368</xdr:rowOff>
    </xdr:from>
    <xdr:to>
      <xdr:col>7</xdr:col>
      <xdr:colOff>230187</xdr:colOff>
      <xdr:row>169</xdr:row>
      <xdr:rowOff>105568</xdr:rowOff>
    </xdr:to>
    <xdr:graphicFrame macro="">
      <xdr:nvGraphicFramePr>
        <xdr:cNvPr id="8" name="Graphique 7">
          <a:extLst>
            <a:ext uri="{FF2B5EF4-FFF2-40B4-BE49-F238E27FC236}">
              <a16:creationId xmlns="" xmlns:a16="http://schemas.microsoft.com/office/drawing/2014/main" id="{852E4616-250C-49EA-BC7E-5ED9071BD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76200</xdr:colOff>
      <xdr:row>14</xdr:row>
      <xdr:rowOff>441960</xdr:rowOff>
    </xdr:from>
    <xdr:to>
      <xdr:col>18</xdr:col>
      <xdr:colOff>45720</xdr:colOff>
      <xdr:row>16</xdr:row>
      <xdr:rowOff>38100</xdr:rowOff>
    </xdr:to>
    <xdr:sp macro="" textlink="">
      <xdr:nvSpPr>
        <xdr:cNvPr id="2" name="Flèche : haut 1">
          <a:extLst>
            <a:ext uri="{FF2B5EF4-FFF2-40B4-BE49-F238E27FC236}">
              <a16:creationId xmlns="" xmlns:a16="http://schemas.microsoft.com/office/drawing/2014/main" id="{013E4476-81D7-4617-9169-F624955606BC}"/>
            </a:ext>
          </a:extLst>
        </xdr:cNvPr>
        <xdr:cNvSpPr/>
      </xdr:nvSpPr>
      <xdr:spPr>
        <a:xfrm>
          <a:off x="10972800" y="3055620"/>
          <a:ext cx="304800" cy="259080"/>
        </a:xfrm>
        <a:prstGeom prst="up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266700</xdr:colOff>
      <xdr:row>9</xdr:row>
      <xdr:rowOff>38100</xdr:rowOff>
    </xdr:from>
    <xdr:to>
      <xdr:col>6</xdr:col>
      <xdr:colOff>693420</xdr:colOff>
      <xdr:row>9</xdr:row>
      <xdr:rowOff>297180</xdr:rowOff>
    </xdr:to>
    <xdr:sp macro="" textlink="">
      <xdr:nvSpPr>
        <xdr:cNvPr id="2" name="Flèche : haut 1">
          <a:extLst>
            <a:ext uri="{FF2B5EF4-FFF2-40B4-BE49-F238E27FC236}">
              <a16:creationId xmlns="" xmlns:a16="http://schemas.microsoft.com/office/drawing/2014/main" id="{BF6BA4E1-BC3F-447B-90FC-B8209801D8CB}"/>
            </a:ext>
          </a:extLst>
        </xdr:cNvPr>
        <xdr:cNvSpPr/>
      </xdr:nvSpPr>
      <xdr:spPr>
        <a:xfrm>
          <a:off x="5585460" y="2720340"/>
          <a:ext cx="426720" cy="259080"/>
        </a:xfrm>
        <a:prstGeom prst="up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CREMAC\LOGICIEL%20ACREMAC_REPORT\Mod&#232;les%20Etats%20financiers\LIASSE%20TOGO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ENTIFICATION"/>
      <sheetName val="PCGO"/>
      <sheetName val="BG N"/>
      <sheetName val="Feuil1"/>
      <sheetName val="BG N-1"/>
      <sheetName val="BG N-2"/>
      <sheetName val="Tabcalcul FT"/>
      <sheetName val="DEPOT SN"/>
      <sheetName val="FC"/>
      <sheetName val="TDC"/>
      <sheetName val="FID1 "/>
      <sheetName val="FID2"/>
      <sheetName val="DIR"/>
      <sheetName val="ACTIF"/>
      <sheetName val="PASSIF"/>
      <sheetName val="CR"/>
      <sheetName val="TFT"/>
      <sheetName val="FR 4"/>
      <sheetName val="N1"/>
      <sheetName val="N2"/>
      <sheetName val="IMMO N3A"/>
      <sheetName val=" IMMO N3B"/>
      <sheetName val="N3C AMOR"/>
      <sheetName val="N3D"/>
      <sheetName val="N3E"/>
      <sheetName val="N4"/>
      <sheetName val="N5"/>
      <sheetName val="NOTE 6"/>
      <sheetName val="NOTE 7"/>
      <sheetName val="NOTE 8"/>
      <sheetName val="NOTE 8A"/>
      <sheetName val="NOTE 9"/>
      <sheetName val="NOTE 10"/>
      <sheetName val="NOTE 11"/>
      <sheetName val="NOTE 12"/>
      <sheetName val="NOTE 13"/>
      <sheetName val="NOTE 14"/>
      <sheetName val="NOTE 15 A"/>
      <sheetName val="NOTE 15B"/>
      <sheetName val="NOTE 16A"/>
      <sheetName val="note 16 B"/>
      <sheetName val="note 16 B bis"/>
      <sheetName val="note 16 C"/>
      <sheetName val="note 17"/>
      <sheetName val="note 18"/>
      <sheetName val="NOTE 19"/>
      <sheetName val="NOTE 20"/>
      <sheetName val="note 21"/>
      <sheetName val="note 22"/>
      <sheetName val="NOTE 23 24"/>
      <sheetName val="NOTE 25"/>
      <sheetName val="NOTE 26"/>
      <sheetName val="NOTE 27A"/>
      <sheetName val="NOTE 27 B"/>
      <sheetName val="NOTE 28"/>
      <sheetName val="NOTE 29"/>
      <sheetName val="NOTE 30"/>
      <sheetName val="NOTE 31"/>
      <sheetName val="N32"/>
      <sheetName val="N33"/>
      <sheetName val="N34"/>
      <sheetName val="N35"/>
      <sheetName val="P57"/>
      <sheetName val="P 58 Résultat Fiscal"/>
      <sheetName val="P59 Liquidation impôt"/>
      <sheetName val="P60 Gestion défcits et ARD"/>
      <sheetName val="Page 61 Autres Renseig."/>
      <sheetName val="Page 62 Autres Renseig."/>
      <sheetName val="P 63 Détail des charges "/>
      <sheetName val="P 64 Détail des charges"/>
      <sheetName val="P 65 Détail des charges"/>
      <sheetName val="P 66 Détail des charges"/>
      <sheetName val="P 67 DETAIL PRODUITS"/>
      <sheetName val="P68 Détail des produits"/>
      <sheetName val="P 69 Rémunérations des AD"/>
      <sheetName val="P 70 FRAIS DE SIEGE"/>
      <sheetName val="P 71 Analyse coût d'achat"/>
      <sheetName val="P 72 Analyse Production"/>
      <sheetName val="P73 CA Fiscal "/>
      <sheetName val="P74 Capro&amp; DEFIRAS"/>
      <sheetName val="P75 Détail DETTES FISCALES"/>
      <sheetName val="P76 Détail CREANCES FISCALES "/>
      <sheetName val="P 77 Détail AUTRES CREANCES"/>
      <sheetName val="P 78 TVA"/>
      <sheetName val="P 79 TVS"/>
      <sheetName val="P 79 BIS TVM"/>
      <sheetName val="P 80 Provision const."/>
      <sheetName val="P 81 Trait. fiscal des prov."/>
      <sheetName val="P82 Tableau des amort."/>
      <sheetName val="P83 Plus-values non taxables"/>
      <sheetName val="P84 Liste principaux clients"/>
      <sheetName val="P 85 Liste princip. fourniss."/>
    </sheetNames>
    <sheetDataSet>
      <sheetData sheetId="0"/>
      <sheetData sheetId="1"/>
      <sheetData sheetId="2">
        <row r="1">
          <cell r="K1">
            <v>0</v>
          </cell>
        </row>
        <row r="2">
          <cell r="K2">
            <v>0</v>
          </cell>
        </row>
        <row r="3">
          <cell r="K3">
            <v>0</v>
          </cell>
        </row>
        <row r="4">
          <cell r="A4" t="str">
            <v>CDE</v>
          </cell>
          <cell r="K4" t="str">
            <v>Solde Final</v>
          </cell>
        </row>
        <row r="5">
          <cell r="A5" t="str">
            <v>Deb</v>
          </cell>
          <cell r="K5" t="str">
            <v>Débit</v>
          </cell>
        </row>
        <row r="6">
          <cell r="A6" t="str">
            <v>CA</v>
          </cell>
          <cell r="K6">
            <v>0</v>
          </cell>
        </row>
        <row r="7">
          <cell r="A7" t="str">
            <v>CH</v>
          </cell>
          <cell r="K7">
            <v>0</v>
          </cell>
        </row>
        <row r="8">
          <cell r="A8" t="str">
            <v>CH</v>
          </cell>
          <cell r="K8">
            <v>0</v>
          </cell>
        </row>
        <row r="9">
          <cell r="A9" t="str">
            <v>AJ</v>
          </cell>
          <cell r="K9">
            <v>15000000</v>
          </cell>
        </row>
        <row r="10">
          <cell r="A10" t="str">
            <v>AK</v>
          </cell>
          <cell r="K10">
            <v>25000000</v>
          </cell>
        </row>
        <row r="11">
          <cell r="A11" t="str">
            <v>AL</v>
          </cell>
          <cell r="K11">
            <v>0</v>
          </cell>
        </row>
        <row r="12">
          <cell r="A12" t="str">
            <v>AM</v>
          </cell>
          <cell r="K12">
            <v>2122500</v>
          </cell>
        </row>
        <row r="13">
          <cell r="A13" t="str">
            <v>AM</v>
          </cell>
          <cell r="K13">
            <v>0</v>
          </cell>
        </row>
        <row r="14">
          <cell r="A14" t="str">
            <v>AM</v>
          </cell>
          <cell r="K14">
            <v>0</v>
          </cell>
        </row>
        <row r="15">
          <cell r="A15" t="str">
            <v>AN</v>
          </cell>
          <cell r="K15">
            <v>30462500</v>
          </cell>
        </row>
        <row r="16">
          <cell r="A16" t="str">
            <v>AS</v>
          </cell>
          <cell r="K16">
            <v>0</v>
          </cell>
        </row>
        <row r="17">
          <cell r="A17" t="str">
            <v>AS</v>
          </cell>
          <cell r="K17">
            <v>0</v>
          </cell>
        </row>
        <row r="18">
          <cell r="A18">
            <v>0</v>
          </cell>
          <cell r="K18">
            <v>0</v>
          </cell>
        </row>
        <row r="19">
          <cell r="A19">
            <v>0</v>
          </cell>
          <cell r="K19">
            <v>0</v>
          </cell>
        </row>
        <row r="20">
          <cell r="A20">
            <v>0</v>
          </cell>
          <cell r="K20">
            <v>0</v>
          </cell>
        </row>
        <row r="21">
          <cell r="A21">
            <v>0</v>
          </cell>
          <cell r="K21">
            <v>0</v>
          </cell>
        </row>
        <row r="22">
          <cell r="A22" t="str">
            <v>BB</v>
          </cell>
          <cell r="K22">
            <v>91214255.800000012</v>
          </cell>
        </row>
        <row r="23">
          <cell r="A23" t="str">
            <v>BB</v>
          </cell>
          <cell r="K23">
            <v>0</v>
          </cell>
        </row>
        <row r="24">
          <cell r="A24" t="str">
            <v>BH</v>
          </cell>
          <cell r="K24">
            <v>0</v>
          </cell>
        </row>
        <row r="25">
          <cell r="A25" t="str">
            <v>BI</v>
          </cell>
          <cell r="K25">
            <v>67603814</v>
          </cell>
        </row>
        <row r="26">
          <cell r="A26" t="str">
            <v>BJ</v>
          </cell>
          <cell r="K26">
            <v>0</v>
          </cell>
        </row>
        <row r="27">
          <cell r="A27" t="str">
            <v>BJ</v>
          </cell>
          <cell r="K27">
            <v>0</v>
          </cell>
        </row>
        <row r="28">
          <cell r="A28" t="str">
            <v>BJ</v>
          </cell>
          <cell r="K28">
            <v>0</v>
          </cell>
        </row>
        <row r="29">
          <cell r="A29" t="str">
            <v>BJ</v>
          </cell>
          <cell r="K29">
            <v>0</v>
          </cell>
        </row>
        <row r="30">
          <cell r="A30" t="str">
            <v>BJ</v>
          </cell>
          <cell r="K30">
            <v>93114085.288751572</v>
          </cell>
        </row>
        <row r="31">
          <cell r="A31" t="str">
            <v>BJ</v>
          </cell>
          <cell r="K31">
            <v>0</v>
          </cell>
        </row>
        <row r="32">
          <cell r="A32" t="str">
            <v>BS</v>
          </cell>
          <cell r="K32">
            <v>0</v>
          </cell>
        </row>
        <row r="33">
          <cell r="A33" t="str">
            <v>BS</v>
          </cell>
          <cell r="K33">
            <v>47915362</v>
          </cell>
        </row>
        <row r="34">
          <cell r="A34" t="str">
            <v>BS</v>
          </cell>
          <cell r="K34">
            <v>4313884</v>
          </cell>
        </row>
        <row r="35">
          <cell r="A35" t="str">
            <v>BS</v>
          </cell>
          <cell r="K35">
            <v>0</v>
          </cell>
        </row>
        <row r="36">
          <cell r="A36" t="str">
            <v>BS</v>
          </cell>
          <cell r="K36">
            <v>0</v>
          </cell>
        </row>
        <row r="37">
          <cell r="A37" t="str">
            <v>RA</v>
          </cell>
          <cell r="K37">
            <v>1732422910.3611763</v>
          </cell>
        </row>
        <row r="38">
          <cell r="A38" t="str">
            <v>RB</v>
          </cell>
          <cell r="K38">
            <v>0</v>
          </cell>
        </row>
        <row r="39">
          <cell r="A39" t="str">
            <v>RE</v>
          </cell>
          <cell r="K39">
            <v>0</v>
          </cell>
        </row>
        <row r="40">
          <cell r="A40" t="str">
            <v>RE</v>
          </cell>
          <cell r="K40">
            <v>99865.794600000008</v>
          </cell>
        </row>
        <row r="41">
          <cell r="A41" t="str">
            <v>RE</v>
          </cell>
          <cell r="K41">
            <v>1247499.3700000001</v>
          </cell>
        </row>
        <row r="42">
          <cell r="A42" t="str">
            <v>RE</v>
          </cell>
          <cell r="K42">
            <v>1914286.3599999996</v>
          </cell>
        </row>
        <row r="43">
          <cell r="A43" t="str">
            <v>RE</v>
          </cell>
          <cell r="K43">
            <v>837447.1</v>
          </cell>
        </row>
        <row r="44">
          <cell r="A44" t="str">
            <v>RE</v>
          </cell>
          <cell r="K44">
            <v>648157.91999999993</v>
          </cell>
        </row>
        <row r="45">
          <cell r="A45" t="str">
            <v>RE</v>
          </cell>
          <cell r="K45">
            <v>566150.505</v>
          </cell>
        </row>
        <row r="46">
          <cell r="A46" t="str">
            <v>RE</v>
          </cell>
          <cell r="K46">
            <v>1576926.4635000001</v>
          </cell>
        </row>
        <row r="47">
          <cell r="A47" t="str">
            <v>RE</v>
          </cell>
          <cell r="K47">
            <v>0</v>
          </cell>
        </row>
        <row r="48">
          <cell r="A48" t="str">
            <v>RG</v>
          </cell>
          <cell r="K48">
            <v>57018170.507100008</v>
          </cell>
        </row>
        <row r="49">
          <cell r="A49" t="str">
            <v>RG</v>
          </cell>
          <cell r="K49">
            <v>1454384.3600000003</v>
          </cell>
        </row>
        <row r="50">
          <cell r="A50" t="str">
            <v>RG</v>
          </cell>
          <cell r="K50">
            <v>593615.46750000003</v>
          </cell>
        </row>
        <row r="51">
          <cell r="A51" t="str">
            <v>RH</v>
          </cell>
          <cell r="K51">
            <v>9256000</v>
          </cell>
        </row>
        <row r="52">
          <cell r="A52" t="str">
            <v>RH</v>
          </cell>
          <cell r="K52">
            <v>787500</v>
          </cell>
        </row>
        <row r="53">
          <cell r="A53" t="str">
            <v>RH</v>
          </cell>
          <cell r="K53">
            <v>6500053.7999999998</v>
          </cell>
        </row>
        <row r="54">
          <cell r="A54" t="str">
            <v>RH</v>
          </cell>
          <cell r="K54">
            <v>237500</v>
          </cell>
        </row>
        <row r="55">
          <cell r="A55" t="str">
            <v>RH</v>
          </cell>
          <cell r="K55">
            <v>0</v>
          </cell>
        </row>
        <row r="56">
          <cell r="A56" t="str">
            <v>RH</v>
          </cell>
          <cell r="K56">
            <v>1710000</v>
          </cell>
        </row>
        <row r="57">
          <cell r="A57" t="str">
            <v>RH</v>
          </cell>
          <cell r="K57">
            <v>0</v>
          </cell>
        </row>
        <row r="58">
          <cell r="A58" t="str">
            <v>RH</v>
          </cell>
          <cell r="K58">
            <v>0</v>
          </cell>
        </row>
        <row r="59">
          <cell r="A59" t="str">
            <v>RH</v>
          </cell>
          <cell r="K59">
            <v>0</v>
          </cell>
        </row>
        <row r="60">
          <cell r="A60" t="str">
            <v>RH</v>
          </cell>
          <cell r="K60">
            <v>1500000</v>
          </cell>
        </row>
        <row r="61">
          <cell r="A61" t="str">
            <v>RH</v>
          </cell>
          <cell r="K61">
            <v>4035000</v>
          </cell>
        </row>
        <row r="62">
          <cell r="A62" t="str">
            <v>RH</v>
          </cell>
          <cell r="K62">
            <v>2880000</v>
          </cell>
        </row>
        <row r="63">
          <cell r="A63" t="str">
            <v>RH</v>
          </cell>
          <cell r="K63">
            <v>44653036.960000001</v>
          </cell>
        </row>
        <row r="64">
          <cell r="A64" t="str">
            <v>RH</v>
          </cell>
          <cell r="K64">
            <v>40514997.931650005</v>
          </cell>
        </row>
        <row r="65">
          <cell r="A65" t="str">
            <v>RH</v>
          </cell>
          <cell r="K65">
            <v>1000000</v>
          </cell>
        </row>
        <row r="66">
          <cell r="A66" t="str">
            <v>RH</v>
          </cell>
          <cell r="K66">
            <v>0</v>
          </cell>
        </row>
        <row r="67">
          <cell r="A67" t="str">
            <v>RH</v>
          </cell>
          <cell r="K67">
            <v>3289790.9220000003</v>
          </cell>
        </row>
        <row r="68">
          <cell r="A68" t="str">
            <v>RH</v>
          </cell>
          <cell r="K68">
            <v>0</v>
          </cell>
        </row>
        <row r="69">
          <cell r="A69" t="str">
            <v>RH</v>
          </cell>
          <cell r="K69">
            <v>0</v>
          </cell>
        </row>
        <row r="70">
          <cell r="A70" t="str">
            <v>RH</v>
          </cell>
          <cell r="K70">
            <v>3754800</v>
          </cell>
        </row>
        <row r="71">
          <cell r="A71" t="str">
            <v>RI</v>
          </cell>
          <cell r="K71">
            <v>30000</v>
          </cell>
        </row>
        <row r="72">
          <cell r="A72" t="str">
            <v>RI</v>
          </cell>
          <cell r="K72">
            <v>14842224</v>
          </cell>
        </row>
        <row r="73">
          <cell r="A73" t="str">
            <v>RI</v>
          </cell>
          <cell r="K73">
            <v>12224265.664000001</v>
          </cell>
        </row>
        <row r="74">
          <cell r="A74" t="str">
            <v>RI</v>
          </cell>
          <cell r="K74">
            <v>0</v>
          </cell>
        </row>
        <row r="75">
          <cell r="A75" t="str">
            <v>RI</v>
          </cell>
          <cell r="K75">
            <v>0</v>
          </cell>
        </row>
        <row r="76">
          <cell r="A76" t="str">
            <v>RI</v>
          </cell>
          <cell r="K76">
            <v>0</v>
          </cell>
        </row>
        <row r="77">
          <cell r="A77" t="str">
            <v>RI</v>
          </cell>
          <cell r="K77">
            <v>0</v>
          </cell>
        </row>
        <row r="78">
          <cell r="A78" t="str">
            <v>RI</v>
          </cell>
          <cell r="K78">
            <v>0</v>
          </cell>
        </row>
        <row r="79">
          <cell r="A79" t="str">
            <v>RJ</v>
          </cell>
          <cell r="K79">
            <v>0</v>
          </cell>
        </row>
        <row r="80">
          <cell r="A80" t="str">
            <v>RJ</v>
          </cell>
          <cell r="K80">
            <v>0</v>
          </cell>
        </row>
        <row r="81">
          <cell r="A81" t="str">
            <v>RJ</v>
          </cell>
          <cell r="K81">
            <v>0</v>
          </cell>
        </row>
        <row r="82">
          <cell r="A82" t="str">
            <v>RK</v>
          </cell>
          <cell r="K82">
            <v>9276390</v>
          </cell>
        </row>
        <row r="83">
          <cell r="A83" t="str">
            <v>RK</v>
          </cell>
          <cell r="K83">
            <v>0</v>
          </cell>
        </row>
        <row r="84">
          <cell r="A84" t="str">
            <v>RK</v>
          </cell>
          <cell r="K84">
            <v>0</v>
          </cell>
        </row>
        <row r="85">
          <cell r="A85" t="str">
            <v>RM</v>
          </cell>
          <cell r="K85">
            <v>6541964</v>
          </cell>
        </row>
        <row r="86">
          <cell r="A86" t="str">
            <v>RL</v>
          </cell>
          <cell r="K86">
            <v>0</v>
          </cell>
        </row>
        <row r="87">
          <cell r="A87" t="str">
            <v>RL</v>
          </cell>
          <cell r="K87">
            <v>1250000</v>
          </cell>
        </row>
        <row r="88">
          <cell r="A88" t="str">
            <v>TA</v>
          </cell>
          <cell r="K88">
            <v>0</v>
          </cell>
        </row>
        <row r="89">
          <cell r="A89" t="str">
            <v>TC</v>
          </cell>
          <cell r="K89">
            <v>0</v>
          </cell>
        </row>
        <row r="90">
          <cell r="A90" t="str">
            <v>TC</v>
          </cell>
          <cell r="K90">
            <v>0</v>
          </cell>
        </row>
        <row r="91">
          <cell r="A91" t="str">
            <v>TC</v>
          </cell>
          <cell r="K91">
            <v>0</v>
          </cell>
        </row>
        <row r="92">
          <cell r="A92" t="str">
            <v>TC</v>
          </cell>
          <cell r="K92">
            <v>0</v>
          </cell>
        </row>
        <row r="93">
          <cell r="A93" t="str">
            <v>TD</v>
          </cell>
          <cell r="K93">
            <v>0</v>
          </cell>
        </row>
        <row r="94">
          <cell r="A94" t="str">
            <v>TI</v>
          </cell>
          <cell r="K94">
            <v>0</v>
          </cell>
        </row>
        <row r="95">
          <cell r="A95" t="str">
            <v>RS</v>
          </cell>
          <cell r="K95">
            <v>28689000</v>
          </cell>
        </row>
        <row r="96">
          <cell r="A96">
            <v>0</v>
          </cell>
          <cell r="K96">
            <v>0</v>
          </cell>
        </row>
        <row r="97">
          <cell r="A97">
            <v>0</v>
          </cell>
          <cell r="K97">
            <v>0</v>
          </cell>
        </row>
        <row r="98">
          <cell r="A98">
            <v>0</v>
          </cell>
          <cell r="K98">
            <v>0</v>
          </cell>
        </row>
        <row r="99">
          <cell r="A99">
            <v>0</v>
          </cell>
          <cell r="K99">
            <v>0</v>
          </cell>
        </row>
        <row r="100">
          <cell r="A100">
            <v>0</v>
          </cell>
          <cell r="K100">
            <v>0</v>
          </cell>
        </row>
        <row r="101">
          <cell r="A101">
            <v>0</v>
          </cell>
          <cell r="K101">
            <v>0</v>
          </cell>
        </row>
        <row r="102">
          <cell r="A102">
            <v>0</v>
          </cell>
          <cell r="K102">
            <v>0</v>
          </cell>
        </row>
        <row r="103">
          <cell r="A103">
            <v>0</v>
          </cell>
          <cell r="K103">
            <v>0</v>
          </cell>
        </row>
        <row r="104">
          <cell r="A104">
            <v>0</v>
          </cell>
          <cell r="K104">
            <v>0</v>
          </cell>
        </row>
        <row r="105">
          <cell r="A105">
            <v>0</v>
          </cell>
          <cell r="K105">
            <v>0</v>
          </cell>
        </row>
        <row r="106">
          <cell r="A106">
            <v>0</v>
          </cell>
          <cell r="K106">
            <v>0</v>
          </cell>
        </row>
        <row r="107">
          <cell r="A107">
            <v>0</v>
          </cell>
          <cell r="K107">
            <v>0</v>
          </cell>
        </row>
        <row r="108">
          <cell r="A108">
            <v>0</v>
          </cell>
          <cell r="K108">
            <v>0</v>
          </cell>
        </row>
        <row r="109">
          <cell r="A109">
            <v>0</v>
          </cell>
          <cell r="K109">
            <v>0</v>
          </cell>
        </row>
        <row r="110">
          <cell r="A110">
            <v>0</v>
          </cell>
          <cell r="K110">
            <v>0</v>
          </cell>
        </row>
        <row r="111">
          <cell r="A111">
            <v>0</v>
          </cell>
          <cell r="K111">
            <v>0</v>
          </cell>
        </row>
        <row r="112">
          <cell r="A112">
            <v>0</v>
          </cell>
          <cell r="K112">
            <v>0</v>
          </cell>
        </row>
        <row r="113">
          <cell r="A113">
            <v>0</v>
          </cell>
          <cell r="K113">
            <v>0</v>
          </cell>
        </row>
        <row r="114">
          <cell r="A114">
            <v>0</v>
          </cell>
          <cell r="K114">
            <v>0</v>
          </cell>
        </row>
        <row r="115">
          <cell r="A115">
            <v>0</v>
          </cell>
          <cell r="K115">
            <v>0</v>
          </cell>
        </row>
        <row r="116">
          <cell r="A116">
            <v>0</v>
          </cell>
          <cell r="K116">
            <v>0</v>
          </cell>
        </row>
        <row r="117">
          <cell r="A117">
            <v>0</v>
          </cell>
          <cell r="K117">
            <v>0</v>
          </cell>
        </row>
        <row r="118">
          <cell r="A118">
            <v>0</v>
          </cell>
          <cell r="K118">
            <v>0</v>
          </cell>
        </row>
        <row r="119">
          <cell r="A119">
            <v>0</v>
          </cell>
          <cell r="K119">
            <v>0</v>
          </cell>
        </row>
        <row r="120">
          <cell r="A120">
            <v>0</v>
          </cell>
          <cell r="K120">
            <v>0</v>
          </cell>
        </row>
        <row r="121">
          <cell r="A121">
            <v>0</v>
          </cell>
          <cell r="K121">
            <v>0</v>
          </cell>
        </row>
        <row r="122">
          <cell r="A122">
            <v>0</v>
          </cell>
          <cell r="K122">
            <v>0</v>
          </cell>
        </row>
        <row r="123">
          <cell r="A123">
            <v>0</v>
          </cell>
          <cell r="K123">
            <v>0</v>
          </cell>
        </row>
        <row r="124">
          <cell r="A124">
            <v>0</v>
          </cell>
          <cell r="K124">
            <v>0</v>
          </cell>
        </row>
        <row r="125">
          <cell r="A125">
            <v>0</v>
          </cell>
          <cell r="K125">
            <v>0</v>
          </cell>
        </row>
        <row r="126">
          <cell r="A126">
            <v>0</v>
          </cell>
          <cell r="K126">
            <v>0</v>
          </cell>
        </row>
        <row r="127">
          <cell r="A127">
            <v>0</v>
          </cell>
          <cell r="K127">
            <v>0</v>
          </cell>
        </row>
        <row r="128">
          <cell r="A128">
            <v>0</v>
          </cell>
          <cell r="K128">
            <v>0</v>
          </cell>
        </row>
        <row r="129">
          <cell r="A129">
            <v>0</v>
          </cell>
          <cell r="K129">
            <v>0</v>
          </cell>
        </row>
        <row r="130">
          <cell r="A130">
            <v>0</v>
          </cell>
          <cell r="K130">
            <v>0</v>
          </cell>
        </row>
        <row r="131">
          <cell r="A131">
            <v>0</v>
          </cell>
          <cell r="K131">
            <v>0</v>
          </cell>
        </row>
        <row r="132">
          <cell r="A132">
            <v>0</v>
          </cell>
          <cell r="K132">
            <v>0</v>
          </cell>
        </row>
        <row r="133">
          <cell r="A133">
            <v>0</v>
          </cell>
          <cell r="K133">
            <v>0</v>
          </cell>
        </row>
        <row r="134">
          <cell r="A134">
            <v>0</v>
          </cell>
          <cell r="K134">
            <v>0</v>
          </cell>
        </row>
        <row r="135">
          <cell r="A135">
            <v>0</v>
          </cell>
          <cell r="K135">
            <v>0</v>
          </cell>
        </row>
        <row r="136">
          <cell r="A136">
            <v>0</v>
          </cell>
          <cell r="K136">
            <v>0</v>
          </cell>
        </row>
        <row r="137">
          <cell r="A137">
            <v>0</v>
          </cell>
          <cell r="K137">
            <v>0</v>
          </cell>
        </row>
        <row r="138">
          <cell r="A138">
            <v>0</v>
          </cell>
          <cell r="K138">
            <v>0</v>
          </cell>
        </row>
        <row r="139">
          <cell r="A139">
            <v>0</v>
          </cell>
          <cell r="K139">
            <v>0</v>
          </cell>
        </row>
        <row r="140">
          <cell r="A140">
            <v>0</v>
          </cell>
          <cell r="K140">
            <v>0</v>
          </cell>
        </row>
        <row r="141">
          <cell r="A141">
            <v>0</v>
          </cell>
          <cell r="K141">
            <v>0</v>
          </cell>
        </row>
        <row r="142">
          <cell r="A142">
            <v>0</v>
          </cell>
          <cell r="K142">
            <v>0</v>
          </cell>
        </row>
        <row r="143">
          <cell r="A143">
            <v>0</v>
          </cell>
          <cell r="K143">
            <v>0</v>
          </cell>
        </row>
        <row r="144">
          <cell r="A144">
            <v>0</v>
          </cell>
          <cell r="K144">
            <v>0</v>
          </cell>
        </row>
        <row r="145">
          <cell r="A145">
            <v>0</v>
          </cell>
          <cell r="K145">
            <v>0</v>
          </cell>
        </row>
        <row r="146">
          <cell r="A146">
            <v>0</v>
          </cell>
          <cell r="K146">
            <v>0</v>
          </cell>
        </row>
        <row r="147">
          <cell r="A147">
            <v>0</v>
          </cell>
          <cell r="K147">
            <v>0</v>
          </cell>
        </row>
        <row r="148">
          <cell r="A148">
            <v>0</v>
          </cell>
          <cell r="K148">
            <v>0</v>
          </cell>
        </row>
        <row r="149">
          <cell r="A149">
            <v>0</v>
          </cell>
          <cell r="K149">
            <v>0</v>
          </cell>
        </row>
        <row r="150">
          <cell r="A150">
            <v>0</v>
          </cell>
          <cell r="K150">
            <v>0</v>
          </cell>
        </row>
        <row r="151">
          <cell r="A151">
            <v>0</v>
          </cell>
          <cell r="K151">
            <v>0</v>
          </cell>
        </row>
        <row r="152">
          <cell r="A152">
            <v>0</v>
          </cell>
          <cell r="K152">
            <v>0</v>
          </cell>
        </row>
        <row r="153">
          <cell r="A153">
            <v>0</v>
          </cell>
          <cell r="K153">
            <v>0</v>
          </cell>
        </row>
        <row r="154">
          <cell r="A154">
            <v>0</v>
          </cell>
          <cell r="K154">
            <v>0</v>
          </cell>
        </row>
        <row r="155">
          <cell r="A155">
            <v>0</v>
          </cell>
          <cell r="K155">
            <v>0</v>
          </cell>
        </row>
        <row r="156">
          <cell r="A156">
            <v>0</v>
          </cell>
          <cell r="K156">
            <v>0</v>
          </cell>
        </row>
        <row r="157">
          <cell r="A157">
            <v>0</v>
          </cell>
          <cell r="K157">
            <v>0</v>
          </cell>
        </row>
        <row r="158">
          <cell r="A158">
            <v>0</v>
          </cell>
          <cell r="K158">
            <v>0</v>
          </cell>
        </row>
        <row r="159">
          <cell r="A159">
            <v>0</v>
          </cell>
          <cell r="K159">
            <v>0</v>
          </cell>
        </row>
        <row r="160">
          <cell r="A160">
            <v>0</v>
          </cell>
          <cell r="K160">
            <v>0</v>
          </cell>
        </row>
        <row r="161">
          <cell r="A161">
            <v>0</v>
          </cell>
          <cell r="K161">
            <v>0</v>
          </cell>
        </row>
        <row r="162">
          <cell r="A162">
            <v>0</v>
          </cell>
          <cell r="K162">
            <v>0</v>
          </cell>
        </row>
        <row r="163">
          <cell r="A163">
            <v>0</v>
          </cell>
          <cell r="K163">
            <v>0</v>
          </cell>
        </row>
        <row r="164">
          <cell r="A164">
            <v>0</v>
          </cell>
          <cell r="K164">
            <v>0</v>
          </cell>
        </row>
        <row r="165">
          <cell r="A165">
            <v>0</v>
          </cell>
          <cell r="K165">
            <v>0</v>
          </cell>
        </row>
        <row r="166">
          <cell r="A166">
            <v>0</v>
          </cell>
          <cell r="K166">
            <v>0</v>
          </cell>
        </row>
        <row r="167">
          <cell r="A167">
            <v>0</v>
          </cell>
          <cell r="K167">
            <v>0</v>
          </cell>
        </row>
        <row r="168">
          <cell r="A168">
            <v>0</v>
          </cell>
          <cell r="K168">
            <v>0</v>
          </cell>
        </row>
        <row r="169">
          <cell r="A169">
            <v>0</v>
          </cell>
          <cell r="K169">
            <v>0</v>
          </cell>
        </row>
        <row r="170">
          <cell r="A170">
            <v>0</v>
          </cell>
          <cell r="K170">
            <v>0</v>
          </cell>
        </row>
        <row r="171">
          <cell r="A171">
            <v>0</v>
          </cell>
          <cell r="K171">
            <v>0</v>
          </cell>
        </row>
        <row r="172">
          <cell r="A172">
            <v>0</v>
          </cell>
          <cell r="K172">
            <v>0</v>
          </cell>
        </row>
        <row r="173">
          <cell r="A173">
            <v>0</v>
          </cell>
          <cell r="K173">
            <v>0</v>
          </cell>
        </row>
        <row r="174">
          <cell r="A174">
            <v>0</v>
          </cell>
          <cell r="K174">
            <v>0</v>
          </cell>
        </row>
        <row r="175">
          <cell r="A175">
            <v>0</v>
          </cell>
          <cell r="K175">
            <v>0</v>
          </cell>
        </row>
        <row r="176">
          <cell r="A176">
            <v>0</v>
          </cell>
          <cell r="K176">
            <v>0</v>
          </cell>
        </row>
        <row r="177">
          <cell r="A177">
            <v>0</v>
          </cell>
          <cell r="K177">
            <v>0</v>
          </cell>
        </row>
        <row r="178">
          <cell r="A178">
            <v>0</v>
          </cell>
          <cell r="K178">
            <v>0</v>
          </cell>
        </row>
        <row r="179">
          <cell r="A179">
            <v>0</v>
          </cell>
          <cell r="K179">
            <v>0</v>
          </cell>
        </row>
        <row r="180">
          <cell r="A180">
            <v>0</v>
          </cell>
          <cell r="K180">
            <v>0</v>
          </cell>
        </row>
        <row r="181">
          <cell r="A181">
            <v>0</v>
          </cell>
          <cell r="K181">
            <v>0</v>
          </cell>
        </row>
        <row r="182">
          <cell r="A182">
            <v>0</v>
          </cell>
          <cell r="K182">
            <v>0</v>
          </cell>
        </row>
        <row r="183">
          <cell r="A183">
            <v>0</v>
          </cell>
          <cell r="K183">
            <v>0</v>
          </cell>
        </row>
        <row r="184">
          <cell r="A184">
            <v>0</v>
          </cell>
          <cell r="K184">
            <v>0</v>
          </cell>
        </row>
        <row r="185">
          <cell r="A185">
            <v>0</v>
          </cell>
          <cell r="K185">
            <v>0</v>
          </cell>
        </row>
        <row r="186">
          <cell r="A186">
            <v>0</v>
          </cell>
          <cell r="K186">
            <v>0</v>
          </cell>
        </row>
        <row r="187">
          <cell r="A187">
            <v>0</v>
          </cell>
          <cell r="K187">
            <v>0</v>
          </cell>
        </row>
        <row r="188">
          <cell r="A188">
            <v>0</v>
          </cell>
          <cell r="K188">
            <v>0</v>
          </cell>
        </row>
        <row r="189">
          <cell r="A189">
            <v>0</v>
          </cell>
          <cell r="K189">
            <v>0</v>
          </cell>
        </row>
        <row r="190">
          <cell r="A190">
            <v>0</v>
          </cell>
          <cell r="K190">
            <v>0</v>
          </cell>
        </row>
        <row r="191">
          <cell r="A191">
            <v>0</v>
          </cell>
          <cell r="K191">
            <v>0</v>
          </cell>
        </row>
        <row r="192">
          <cell r="A192">
            <v>0</v>
          </cell>
          <cell r="K192">
            <v>0</v>
          </cell>
        </row>
        <row r="193">
          <cell r="A193">
            <v>0</v>
          </cell>
          <cell r="K193">
            <v>0</v>
          </cell>
        </row>
        <row r="194">
          <cell r="A194">
            <v>0</v>
          </cell>
          <cell r="K194">
            <v>0</v>
          </cell>
        </row>
        <row r="195">
          <cell r="A195">
            <v>0</v>
          </cell>
          <cell r="K195">
            <v>0</v>
          </cell>
        </row>
        <row r="196">
          <cell r="A196">
            <v>0</v>
          </cell>
          <cell r="K196">
            <v>0</v>
          </cell>
        </row>
        <row r="197">
          <cell r="A197">
            <v>0</v>
          </cell>
          <cell r="K197">
            <v>0</v>
          </cell>
        </row>
        <row r="198">
          <cell r="A198">
            <v>0</v>
          </cell>
          <cell r="K198">
            <v>0</v>
          </cell>
        </row>
        <row r="199">
          <cell r="A199">
            <v>0</v>
          </cell>
          <cell r="K199">
            <v>0</v>
          </cell>
        </row>
        <row r="200">
          <cell r="A200">
            <v>0</v>
          </cell>
          <cell r="K200">
            <v>0</v>
          </cell>
        </row>
        <row r="201">
          <cell r="A201">
            <v>0</v>
          </cell>
          <cell r="K201">
            <v>0</v>
          </cell>
        </row>
        <row r="202">
          <cell r="A202">
            <v>0</v>
          </cell>
          <cell r="K202">
            <v>0</v>
          </cell>
        </row>
        <row r="203">
          <cell r="A203">
            <v>0</v>
          </cell>
          <cell r="K203">
            <v>0</v>
          </cell>
        </row>
        <row r="204">
          <cell r="A204">
            <v>0</v>
          </cell>
          <cell r="K204">
            <v>0</v>
          </cell>
        </row>
        <row r="205">
          <cell r="A205">
            <v>0</v>
          </cell>
          <cell r="K205">
            <v>0</v>
          </cell>
        </row>
        <row r="206">
          <cell r="A206">
            <v>0</v>
          </cell>
          <cell r="K206">
            <v>0</v>
          </cell>
        </row>
        <row r="207">
          <cell r="A207">
            <v>0</v>
          </cell>
          <cell r="K207">
            <v>0</v>
          </cell>
        </row>
        <row r="208">
          <cell r="A208">
            <v>0</v>
          </cell>
          <cell r="K208">
            <v>0</v>
          </cell>
        </row>
        <row r="209">
          <cell r="A209">
            <v>0</v>
          </cell>
          <cell r="K209">
            <v>0</v>
          </cell>
        </row>
        <row r="210">
          <cell r="A210">
            <v>0</v>
          </cell>
          <cell r="K210">
            <v>0</v>
          </cell>
        </row>
        <row r="211">
          <cell r="A211">
            <v>0</v>
          </cell>
          <cell r="K211">
            <v>0</v>
          </cell>
        </row>
        <row r="212">
          <cell r="A212">
            <v>0</v>
          </cell>
          <cell r="K212">
            <v>0</v>
          </cell>
        </row>
        <row r="213">
          <cell r="A213">
            <v>0</v>
          </cell>
          <cell r="K213">
            <v>0</v>
          </cell>
        </row>
        <row r="214">
          <cell r="A214">
            <v>0</v>
          </cell>
          <cell r="K214">
            <v>0</v>
          </cell>
        </row>
        <row r="215">
          <cell r="A215">
            <v>0</v>
          </cell>
          <cell r="K215">
            <v>0</v>
          </cell>
        </row>
        <row r="216">
          <cell r="A216">
            <v>0</v>
          </cell>
          <cell r="K216">
            <v>0</v>
          </cell>
        </row>
        <row r="217">
          <cell r="A217">
            <v>0</v>
          </cell>
          <cell r="K217">
            <v>0</v>
          </cell>
        </row>
        <row r="218">
          <cell r="A218">
            <v>0</v>
          </cell>
          <cell r="K218">
            <v>0</v>
          </cell>
        </row>
        <row r="219">
          <cell r="A219">
            <v>0</v>
          </cell>
          <cell r="K219">
            <v>0</v>
          </cell>
        </row>
        <row r="220">
          <cell r="A220">
            <v>0</v>
          </cell>
          <cell r="K220">
            <v>0</v>
          </cell>
        </row>
        <row r="221">
          <cell r="A221">
            <v>0</v>
          </cell>
          <cell r="K221">
            <v>0</v>
          </cell>
        </row>
        <row r="222">
          <cell r="A222">
            <v>0</v>
          </cell>
          <cell r="K222">
            <v>0</v>
          </cell>
        </row>
        <row r="223">
          <cell r="A223">
            <v>0</v>
          </cell>
          <cell r="K223">
            <v>0</v>
          </cell>
        </row>
        <row r="224">
          <cell r="A224">
            <v>0</v>
          </cell>
          <cell r="K224">
            <v>0</v>
          </cell>
        </row>
        <row r="225">
          <cell r="A225">
            <v>0</v>
          </cell>
          <cell r="K225">
            <v>0</v>
          </cell>
        </row>
        <row r="226">
          <cell r="A226">
            <v>0</v>
          </cell>
          <cell r="K226">
            <v>0</v>
          </cell>
        </row>
        <row r="227">
          <cell r="A227">
            <v>0</v>
          </cell>
          <cell r="K227">
            <v>0</v>
          </cell>
        </row>
        <row r="228">
          <cell r="A228">
            <v>0</v>
          </cell>
          <cell r="K228">
            <v>0</v>
          </cell>
        </row>
        <row r="229">
          <cell r="A229">
            <v>0</v>
          </cell>
          <cell r="K229">
            <v>0</v>
          </cell>
        </row>
        <row r="230">
          <cell r="A230">
            <v>0</v>
          </cell>
          <cell r="K230">
            <v>0</v>
          </cell>
        </row>
        <row r="231">
          <cell r="A231">
            <v>0</v>
          </cell>
          <cell r="K231">
            <v>0</v>
          </cell>
        </row>
        <row r="232">
          <cell r="A232">
            <v>0</v>
          </cell>
          <cell r="K232">
            <v>0</v>
          </cell>
        </row>
        <row r="233">
          <cell r="A233">
            <v>0</v>
          </cell>
          <cell r="K233">
            <v>0</v>
          </cell>
        </row>
        <row r="234">
          <cell r="A234">
            <v>0</v>
          </cell>
          <cell r="K234">
            <v>0</v>
          </cell>
        </row>
        <row r="235">
          <cell r="A235">
            <v>0</v>
          </cell>
          <cell r="K235">
            <v>0</v>
          </cell>
        </row>
        <row r="236">
          <cell r="A236">
            <v>0</v>
          </cell>
          <cell r="K236">
            <v>0</v>
          </cell>
        </row>
        <row r="237">
          <cell r="A237">
            <v>0</v>
          </cell>
          <cell r="K237">
            <v>0</v>
          </cell>
        </row>
        <row r="238">
          <cell r="A238">
            <v>0</v>
          </cell>
          <cell r="K238">
            <v>0</v>
          </cell>
        </row>
        <row r="239">
          <cell r="A239">
            <v>0</v>
          </cell>
          <cell r="K239">
            <v>0</v>
          </cell>
        </row>
        <row r="240">
          <cell r="A240">
            <v>0</v>
          </cell>
          <cell r="K240">
            <v>0</v>
          </cell>
        </row>
        <row r="241">
          <cell r="A241">
            <v>0</v>
          </cell>
          <cell r="K241">
            <v>0</v>
          </cell>
        </row>
        <row r="242">
          <cell r="A242">
            <v>0</v>
          </cell>
          <cell r="K242">
            <v>0</v>
          </cell>
        </row>
        <row r="243">
          <cell r="A243">
            <v>0</v>
          </cell>
          <cell r="K243">
            <v>0</v>
          </cell>
        </row>
        <row r="244">
          <cell r="A244">
            <v>0</v>
          </cell>
          <cell r="K244">
            <v>0</v>
          </cell>
        </row>
        <row r="245">
          <cell r="A245">
            <v>0</v>
          </cell>
          <cell r="K245">
            <v>0</v>
          </cell>
        </row>
        <row r="246">
          <cell r="A246">
            <v>0</v>
          </cell>
          <cell r="K246">
            <v>0</v>
          </cell>
        </row>
        <row r="247">
          <cell r="A247">
            <v>0</v>
          </cell>
          <cell r="K247">
            <v>0</v>
          </cell>
        </row>
        <row r="248">
          <cell r="A248">
            <v>0</v>
          </cell>
          <cell r="K248">
            <v>0</v>
          </cell>
        </row>
        <row r="249">
          <cell r="A249">
            <v>0</v>
          </cell>
          <cell r="K249">
            <v>0</v>
          </cell>
        </row>
        <row r="250">
          <cell r="A250">
            <v>0</v>
          </cell>
          <cell r="K250">
            <v>0</v>
          </cell>
        </row>
        <row r="251">
          <cell r="A251">
            <v>0</v>
          </cell>
          <cell r="K251">
            <v>0</v>
          </cell>
        </row>
        <row r="252">
          <cell r="A252">
            <v>0</v>
          </cell>
          <cell r="K252">
            <v>0</v>
          </cell>
        </row>
        <row r="253">
          <cell r="A253">
            <v>0</v>
          </cell>
          <cell r="K253">
            <v>0</v>
          </cell>
        </row>
        <row r="254">
          <cell r="A254">
            <v>0</v>
          </cell>
          <cell r="K254">
            <v>0</v>
          </cell>
        </row>
        <row r="255">
          <cell r="A255">
            <v>0</v>
          </cell>
          <cell r="K255">
            <v>0</v>
          </cell>
        </row>
        <row r="256">
          <cell r="A256">
            <v>0</v>
          </cell>
          <cell r="K256">
            <v>0</v>
          </cell>
        </row>
        <row r="257">
          <cell r="A257">
            <v>0</v>
          </cell>
          <cell r="K257">
            <v>0</v>
          </cell>
        </row>
        <row r="258">
          <cell r="A258">
            <v>0</v>
          </cell>
          <cell r="K258">
            <v>0</v>
          </cell>
        </row>
        <row r="259">
          <cell r="A259">
            <v>0</v>
          </cell>
          <cell r="K259">
            <v>0</v>
          </cell>
        </row>
        <row r="260">
          <cell r="A260">
            <v>0</v>
          </cell>
          <cell r="K260">
            <v>0</v>
          </cell>
        </row>
        <row r="261">
          <cell r="A261">
            <v>0</v>
          </cell>
          <cell r="K261">
            <v>0</v>
          </cell>
        </row>
        <row r="262">
          <cell r="A262">
            <v>0</v>
          </cell>
          <cell r="K262">
            <v>0</v>
          </cell>
        </row>
        <row r="263">
          <cell r="A263">
            <v>0</v>
          </cell>
          <cell r="K263">
            <v>0</v>
          </cell>
        </row>
        <row r="264">
          <cell r="A264">
            <v>0</v>
          </cell>
          <cell r="K264">
            <v>0</v>
          </cell>
        </row>
        <row r="265">
          <cell r="A265">
            <v>0</v>
          </cell>
          <cell r="K265">
            <v>0</v>
          </cell>
        </row>
        <row r="266">
          <cell r="A266">
            <v>0</v>
          </cell>
          <cell r="K266">
            <v>0</v>
          </cell>
        </row>
        <row r="267">
          <cell r="A267">
            <v>0</v>
          </cell>
          <cell r="K267">
            <v>0</v>
          </cell>
        </row>
        <row r="268">
          <cell r="A268">
            <v>0</v>
          </cell>
          <cell r="K268">
            <v>0</v>
          </cell>
        </row>
        <row r="269">
          <cell r="A269">
            <v>0</v>
          </cell>
          <cell r="K269">
            <v>0</v>
          </cell>
        </row>
        <row r="270">
          <cell r="A270">
            <v>0</v>
          </cell>
          <cell r="K270">
            <v>0</v>
          </cell>
        </row>
        <row r="271">
          <cell r="A271">
            <v>0</v>
          </cell>
          <cell r="K271">
            <v>0</v>
          </cell>
        </row>
        <row r="272">
          <cell r="A272">
            <v>0</v>
          </cell>
          <cell r="K272">
            <v>0</v>
          </cell>
        </row>
        <row r="273">
          <cell r="A273">
            <v>0</v>
          </cell>
          <cell r="K273">
            <v>0</v>
          </cell>
        </row>
        <row r="274">
          <cell r="A274">
            <v>0</v>
          </cell>
          <cell r="K274">
            <v>0</v>
          </cell>
        </row>
        <row r="275">
          <cell r="A275">
            <v>0</v>
          </cell>
          <cell r="K275">
            <v>0</v>
          </cell>
        </row>
        <row r="276">
          <cell r="A276">
            <v>0</v>
          </cell>
          <cell r="K276">
            <v>0</v>
          </cell>
        </row>
        <row r="277">
          <cell r="A277">
            <v>0</v>
          </cell>
          <cell r="K277">
            <v>0</v>
          </cell>
        </row>
        <row r="278">
          <cell r="A278">
            <v>0</v>
          </cell>
          <cell r="K278">
            <v>0</v>
          </cell>
        </row>
        <row r="279">
          <cell r="A279">
            <v>0</v>
          </cell>
          <cell r="K279">
            <v>0</v>
          </cell>
        </row>
        <row r="280">
          <cell r="A280">
            <v>0</v>
          </cell>
          <cell r="K280">
            <v>0</v>
          </cell>
        </row>
        <row r="281">
          <cell r="A281">
            <v>0</v>
          </cell>
          <cell r="K281">
            <v>0</v>
          </cell>
        </row>
        <row r="282">
          <cell r="A282">
            <v>0</v>
          </cell>
          <cell r="K282">
            <v>0</v>
          </cell>
        </row>
        <row r="283">
          <cell r="A283">
            <v>0</v>
          </cell>
          <cell r="K283">
            <v>0</v>
          </cell>
        </row>
        <row r="284">
          <cell r="A284">
            <v>0</v>
          </cell>
          <cell r="K284">
            <v>0</v>
          </cell>
        </row>
        <row r="285">
          <cell r="A285">
            <v>0</v>
          </cell>
          <cell r="K285">
            <v>0</v>
          </cell>
        </row>
        <row r="286">
          <cell r="A286">
            <v>0</v>
          </cell>
          <cell r="K286">
            <v>0</v>
          </cell>
        </row>
        <row r="287">
          <cell r="A287">
            <v>0</v>
          </cell>
          <cell r="K287">
            <v>0</v>
          </cell>
        </row>
        <row r="288">
          <cell r="A288">
            <v>0</v>
          </cell>
          <cell r="K288">
            <v>0</v>
          </cell>
        </row>
        <row r="289">
          <cell r="A289">
            <v>0</v>
          </cell>
          <cell r="K289">
            <v>0</v>
          </cell>
        </row>
        <row r="290">
          <cell r="A290">
            <v>0</v>
          </cell>
          <cell r="K290">
            <v>0</v>
          </cell>
        </row>
        <row r="291">
          <cell r="A291">
            <v>0</v>
          </cell>
          <cell r="K291">
            <v>0</v>
          </cell>
        </row>
        <row r="292">
          <cell r="A292">
            <v>0</v>
          </cell>
          <cell r="K292">
            <v>0</v>
          </cell>
        </row>
        <row r="293">
          <cell r="A293">
            <v>0</v>
          </cell>
          <cell r="K293">
            <v>0</v>
          </cell>
        </row>
        <row r="294">
          <cell r="A294">
            <v>0</v>
          </cell>
          <cell r="K294">
            <v>0</v>
          </cell>
        </row>
        <row r="295">
          <cell r="A295">
            <v>0</v>
          </cell>
          <cell r="K295">
            <v>0</v>
          </cell>
        </row>
        <row r="296">
          <cell r="A296">
            <v>0</v>
          </cell>
          <cell r="K296">
            <v>0</v>
          </cell>
        </row>
        <row r="297">
          <cell r="A297">
            <v>0</v>
          </cell>
          <cell r="K297">
            <v>0</v>
          </cell>
        </row>
        <row r="298">
          <cell r="A298">
            <v>0</v>
          </cell>
          <cell r="K298">
            <v>0</v>
          </cell>
        </row>
        <row r="299">
          <cell r="A299">
            <v>0</v>
          </cell>
          <cell r="K299">
            <v>0</v>
          </cell>
        </row>
        <row r="300">
          <cell r="A300">
            <v>0</v>
          </cell>
          <cell r="K300">
            <v>0</v>
          </cell>
        </row>
        <row r="301">
          <cell r="A301">
            <v>0</v>
          </cell>
          <cell r="K301">
            <v>0</v>
          </cell>
        </row>
        <row r="302">
          <cell r="A302">
            <v>0</v>
          </cell>
          <cell r="K302">
            <v>0</v>
          </cell>
        </row>
        <row r="303">
          <cell r="A303">
            <v>0</v>
          </cell>
          <cell r="K303">
            <v>0</v>
          </cell>
        </row>
        <row r="304">
          <cell r="A304">
            <v>0</v>
          </cell>
          <cell r="K304">
            <v>0</v>
          </cell>
        </row>
        <row r="305">
          <cell r="A305">
            <v>0</v>
          </cell>
          <cell r="K305">
            <v>0</v>
          </cell>
        </row>
        <row r="306">
          <cell r="A306">
            <v>0</v>
          </cell>
          <cell r="K306">
            <v>0</v>
          </cell>
        </row>
        <row r="307">
          <cell r="A307">
            <v>0</v>
          </cell>
          <cell r="K307">
            <v>0</v>
          </cell>
        </row>
        <row r="308">
          <cell r="A308">
            <v>0</v>
          </cell>
          <cell r="K308">
            <v>0</v>
          </cell>
        </row>
        <row r="309">
          <cell r="A309">
            <v>0</v>
          </cell>
          <cell r="K309">
            <v>0</v>
          </cell>
        </row>
        <row r="310">
          <cell r="A310">
            <v>0</v>
          </cell>
          <cell r="K310">
            <v>0</v>
          </cell>
        </row>
        <row r="311">
          <cell r="A311">
            <v>0</v>
          </cell>
          <cell r="K311">
            <v>0</v>
          </cell>
        </row>
        <row r="312">
          <cell r="A312">
            <v>0</v>
          </cell>
          <cell r="K312">
            <v>0</v>
          </cell>
        </row>
        <row r="313">
          <cell r="A313">
            <v>0</v>
          </cell>
          <cell r="K313">
            <v>0</v>
          </cell>
        </row>
        <row r="314">
          <cell r="A314">
            <v>0</v>
          </cell>
          <cell r="K314">
            <v>0</v>
          </cell>
        </row>
        <row r="315">
          <cell r="A315">
            <v>0</v>
          </cell>
          <cell r="K315">
            <v>0</v>
          </cell>
        </row>
        <row r="316">
          <cell r="A316">
            <v>0</v>
          </cell>
          <cell r="K316">
            <v>0</v>
          </cell>
        </row>
        <row r="317">
          <cell r="A317">
            <v>0</v>
          </cell>
          <cell r="K317">
            <v>0</v>
          </cell>
        </row>
        <row r="318">
          <cell r="A318">
            <v>0</v>
          </cell>
          <cell r="K318">
            <v>0</v>
          </cell>
        </row>
        <row r="319">
          <cell r="A319">
            <v>0</v>
          </cell>
          <cell r="K319">
            <v>0</v>
          </cell>
        </row>
        <row r="320">
          <cell r="A320">
            <v>0</v>
          </cell>
          <cell r="K320">
            <v>0</v>
          </cell>
        </row>
        <row r="321">
          <cell r="A321">
            <v>0</v>
          </cell>
          <cell r="K321">
            <v>0</v>
          </cell>
        </row>
        <row r="322">
          <cell r="A322">
            <v>0</v>
          </cell>
          <cell r="K322">
            <v>0</v>
          </cell>
        </row>
        <row r="323">
          <cell r="A323">
            <v>0</v>
          </cell>
          <cell r="K323">
            <v>0</v>
          </cell>
        </row>
        <row r="324">
          <cell r="A324">
            <v>0</v>
          </cell>
          <cell r="K324">
            <v>0</v>
          </cell>
        </row>
        <row r="325">
          <cell r="A325">
            <v>0</v>
          </cell>
          <cell r="K325">
            <v>0</v>
          </cell>
        </row>
        <row r="326">
          <cell r="A326">
            <v>0</v>
          </cell>
          <cell r="K326">
            <v>0</v>
          </cell>
        </row>
        <row r="327">
          <cell r="A327">
            <v>0</v>
          </cell>
          <cell r="K327">
            <v>0</v>
          </cell>
        </row>
        <row r="328">
          <cell r="A328">
            <v>0</v>
          </cell>
          <cell r="K328">
            <v>0</v>
          </cell>
        </row>
        <row r="329">
          <cell r="A329">
            <v>0</v>
          </cell>
          <cell r="K329">
            <v>0</v>
          </cell>
        </row>
        <row r="330">
          <cell r="A330">
            <v>0</v>
          </cell>
          <cell r="K330">
            <v>0</v>
          </cell>
        </row>
        <row r="331">
          <cell r="A331">
            <v>0</v>
          </cell>
          <cell r="K331">
            <v>0</v>
          </cell>
        </row>
        <row r="332">
          <cell r="A332">
            <v>0</v>
          </cell>
          <cell r="K332">
            <v>0</v>
          </cell>
        </row>
        <row r="333">
          <cell r="A333">
            <v>0</v>
          </cell>
          <cell r="K333">
            <v>0</v>
          </cell>
        </row>
        <row r="334">
          <cell r="A334">
            <v>0</v>
          </cell>
          <cell r="K334">
            <v>0</v>
          </cell>
        </row>
        <row r="335">
          <cell r="A335">
            <v>0</v>
          </cell>
          <cell r="K335">
            <v>0</v>
          </cell>
        </row>
        <row r="336">
          <cell r="A336">
            <v>0</v>
          </cell>
          <cell r="K336">
            <v>0</v>
          </cell>
        </row>
        <row r="337">
          <cell r="A337">
            <v>0</v>
          </cell>
          <cell r="K337">
            <v>0</v>
          </cell>
        </row>
        <row r="338">
          <cell r="A338">
            <v>0</v>
          </cell>
          <cell r="K338">
            <v>0</v>
          </cell>
        </row>
        <row r="339">
          <cell r="A339">
            <v>0</v>
          </cell>
          <cell r="K339">
            <v>0</v>
          </cell>
        </row>
        <row r="340">
          <cell r="A340">
            <v>0</v>
          </cell>
          <cell r="K340">
            <v>0</v>
          </cell>
        </row>
        <row r="341">
          <cell r="A341">
            <v>0</v>
          </cell>
          <cell r="K341">
            <v>0</v>
          </cell>
        </row>
        <row r="342">
          <cell r="A342">
            <v>0</v>
          </cell>
          <cell r="K342">
            <v>0</v>
          </cell>
        </row>
        <row r="343">
          <cell r="A343">
            <v>0</v>
          </cell>
          <cell r="K343">
            <v>0</v>
          </cell>
        </row>
        <row r="344">
          <cell r="A344">
            <v>0</v>
          </cell>
          <cell r="K344">
            <v>0</v>
          </cell>
        </row>
        <row r="345">
          <cell r="A345">
            <v>0</v>
          </cell>
          <cell r="K345">
            <v>0</v>
          </cell>
        </row>
        <row r="346">
          <cell r="A346">
            <v>0</v>
          </cell>
          <cell r="K346">
            <v>0</v>
          </cell>
        </row>
        <row r="347">
          <cell r="A347">
            <v>0</v>
          </cell>
          <cell r="K347">
            <v>0</v>
          </cell>
        </row>
        <row r="348">
          <cell r="A348">
            <v>0</v>
          </cell>
          <cell r="K348">
            <v>0</v>
          </cell>
        </row>
        <row r="349">
          <cell r="A349">
            <v>0</v>
          </cell>
          <cell r="K349">
            <v>0</v>
          </cell>
        </row>
        <row r="350">
          <cell r="A350">
            <v>0</v>
          </cell>
          <cell r="K350">
            <v>0</v>
          </cell>
        </row>
        <row r="351">
          <cell r="A351">
            <v>0</v>
          </cell>
          <cell r="K351">
            <v>0</v>
          </cell>
        </row>
        <row r="352">
          <cell r="A352">
            <v>0</v>
          </cell>
          <cell r="K352">
            <v>0</v>
          </cell>
        </row>
        <row r="353">
          <cell r="A353">
            <v>0</v>
          </cell>
          <cell r="K353">
            <v>0</v>
          </cell>
        </row>
        <row r="354">
          <cell r="A354">
            <v>0</v>
          </cell>
          <cell r="K354">
            <v>0</v>
          </cell>
        </row>
        <row r="355">
          <cell r="A355">
            <v>0</v>
          </cell>
          <cell r="K355">
            <v>0</v>
          </cell>
        </row>
        <row r="356">
          <cell r="A356">
            <v>0</v>
          </cell>
          <cell r="K356">
            <v>0</v>
          </cell>
        </row>
        <row r="357">
          <cell r="A357">
            <v>0</v>
          </cell>
          <cell r="K357">
            <v>0</v>
          </cell>
        </row>
        <row r="358">
          <cell r="A358">
            <v>0</v>
          </cell>
          <cell r="K358">
            <v>0</v>
          </cell>
        </row>
        <row r="359">
          <cell r="A359">
            <v>0</v>
          </cell>
          <cell r="K359">
            <v>0</v>
          </cell>
        </row>
        <row r="360">
          <cell r="A360">
            <v>0</v>
          </cell>
          <cell r="K360">
            <v>0</v>
          </cell>
        </row>
        <row r="361">
          <cell r="A361">
            <v>0</v>
          </cell>
          <cell r="K361">
            <v>0</v>
          </cell>
        </row>
        <row r="362">
          <cell r="A362">
            <v>0</v>
          </cell>
          <cell r="K362">
            <v>0</v>
          </cell>
        </row>
        <row r="363">
          <cell r="A363">
            <v>0</v>
          </cell>
          <cell r="K363">
            <v>0</v>
          </cell>
        </row>
        <row r="364">
          <cell r="A364">
            <v>0</v>
          </cell>
          <cell r="K364">
            <v>0</v>
          </cell>
        </row>
        <row r="365">
          <cell r="A365">
            <v>0</v>
          </cell>
          <cell r="K365">
            <v>0</v>
          </cell>
        </row>
        <row r="366">
          <cell r="A366">
            <v>0</v>
          </cell>
          <cell r="K366">
            <v>0</v>
          </cell>
        </row>
        <row r="367">
          <cell r="A367">
            <v>0</v>
          </cell>
          <cell r="K367">
            <v>0</v>
          </cell>
        </row>
        <row r="368">
          <cell r="A368">
            <v>0</v>
          </cell>
          <cell r="K368">
            <v>0</v>
          </cell>
        </row>
        <row r="369">
          <cell r="A369">
            <v>0</v>
          </cell>
          <cell r="K369">
            <v>0</v>
          </cell>
        </row>
        <row r="370">
          <cell r="A370">
            <v>0</v>
          </cell>
          <cell r="K370">
            <v>0</v>
          </cell>
        </row>
        <row r="371">
          <cell r="A371">
            <v>0</v>
          </cell>
          <cell r="K371">
            <v>0</v>
          </cell>
        </row>
        <row r="372">
          <cell r="A372">
            <v>0</v>
          </cell>
          <cell r="K372">
            <v>0</v>
          </cell>
        </row>
        <row r="373">
          <cell r="A373">
            <v>0</v>
          </cell>
          <cell r="K373">
            <v>0</v>
          </cell>
        </row>
        <row r="374">
          <cell r="A374">
            <v>0</v>
          </cell>
          <cell r="K374">
            <v>0</v>
          </cell>
        </row>
        <row r="375">
          <cell r="A375">
            <v>0</v>
          </cell>
          <cell r="K375">
            <v>0</v>
          </cell>
        </row>
        <row r="376">
          <cell r="A376">
            <v>0</v>
          </cell>
          <cell r="K376">
            <v>0</v>
          </cell>
        </row>
        <row r="377">
          <cell r="A377">
            <v>0</v>
          </cell>
          <cell r="K377">
            <v>0</v>
          </cell>
        </row>
        <row r="378">
          <cell r="A378">
            <v>0</v>
          </cell>
          <cell r="K378">
            <v>0</v>
          </cell>
        </row>
        <row r="379">
          <cell r="A379">
            <v>0</v>
          </cell>
          <cell r="K379">
            <v>0</v>
          </cell>
        </row>
        <row r="380">
          <cell r="A380">
            <v>0</v>
          </cell>
          <cell r="K380">
            <v>0</v>
          </cell>
        </row>
        <row r="381">
          <cell r="A381">
            <v>0</v>
          </cell>
          <cell r="K381">
            <v>0</v>
          </cell>
        </row>
        <row r="382">
          <cell r="A382">
            <v>0</v>
          </cell>
          <cell r="K382">
            <v>0</v>
          </cell>
        </row>
        <row r="383">
          <cell r="A383">
            <v>0</v>
          </cell>
          <cell r="K383">
            <v>0</v>
          </cell>
        </row>
        <row r="384">
          <cell r="A384">
            <v>0</v>
          </cell>
          <cell r="K384">
            <v>0</v>
          </cell>
        </row>
        <row r="385">
          <cell r="A385">
            <v>0</v>
          </cell>
          <cell r="K385">
            <v>0</v>
          </cell>
        </row>
        <row r="386">
          <cell r="A386">
            <v>0</v>
          </cell>
          <cell r="K386">
            <v>0</v>
          </cell>
        </row>
        <row r="387">
          <cell r="A387">
            <v>0</v>
          </cell>
          <cell r="K387">
            <v>0</v>
          </cell>
        </row>
        <row r="388">
          <cell r="A388">
            <v>0</v>
          </cell>
          <cell r="K388">
            <v>0</v>
          </cell>
        </row>
        <row r="389">
          <cell r="A389">
            <v>0</v>
          </cell>
          <cell r="K389">
            <v>0</v>
          </cell>
        </row>
        <row r="390">
          <cell r="A390">
            <v>0</v>
          </cell>
          <cell r="K390">
            <v>0</v>
          </cell>
        </row>
        <row r="391">
          <cell r="A391">
            <v>0</v>
          </cell>
          <cell r="K391">
            <v>0</v>
          </cell>
        </row>
        <row r="392">
          <cell r="A392">
            <v>0</v>
          </cell>
          <cell r="K392">
            <v>0</v>
          </cell>
        </row>
        <row r="393">
          <cell r="A393">
            <v>0</v>
          </cell>
          <cell r="K393">
            <v>0</v>
          </cell>
        </row>
        <row r="394">
          <cell r="A394">
            <v>0</v>
          </cell>
          <cell r="K394">
            <v>0</v>
          </cell>
        </row>
        <row r="395">
          <cell r="A395">
            <v>0</v>
          </cell>
          <cell r="K395">
            <v>0</v>
          </cell>
        </row>
        <row r="396">
          <cell r="A396">
            <v>0</v>
          </cell>
          <cell r="K396">
            <v>0</v>
          </cell>
        </row>
        <row r="397">
          <cell r="A397">
            <v>0</v>
          </cell>
          <cell r="K397">
            <v>0</v>
          </cell>
        </row>
        <row r="398">
          <cell r="A398">
            <v>0</v>
          </cell>
          <cell r="K398">
            <v>0</v>
          </cell>
        </row>
        <row r="399">
          <cell r="A399">
            <v>0</v>
          </cell>
          <cell r="K399">
            <v>0</v>
          </cell>
        </row>
        <row r="400">
          <cell r="A400">
            <v>0</v>
          </cell>
          <cell r="K400">
            <v>0</v>
          </cell>
        </row>
        <row r="401">
          <cell r="A401">
            <v>0</v>
          </cell>
          <cell r="K401">
            <v>0</v>
          </cell>
        </row>
        <row r="402">
          <cell r="A402">
            <v>0</v>
          </cell>
          <cell r="K402">
            <v>0</v>
          </cell>
        </row>
        <row r="403">
          <cell r="A403">
            <v>0</v>
          </cell>
          <cell r="K403">
            <v>0</v>
          </cell>
        </row>
        <row r="404">
          <cell r="A404">
            <v>0</v>
          </cell>
          <cell r="K404">
            <v>0</v>
          </cell>
        </row>
        <row r="405">
          <cell r="A405">
            <v>0</v>
          </cell>
          <cell r="K405">
            <v>0</v>
          </cell>
        </row>
        <row r="406">
          <cell r="A406">
            <v>0</v>
          </cell>
          <cell r="K406">
            <v>0</v>
          </cell>
        </row>
        <row r="407">
          <cell r="A407">
            <v>0</v>
          </cell>
          <cell r="K407">
            <v>0</v>
          </cell>
        </row>
        <row r="408">
          <cell r="A408">
            <v>0</v>
          </cell>
          <cell r="K408">
            <v>0</v>
          </cell>
        </row>
        <row r="409">
          <cell r="A409">
            <v>0</v>
          </cell>
          <cell r="K409">
            <v>0</v>
          </cell>
        </row>
        <row r="410">
          <cell r="A410">
            <v>0</v>
          </cell>
          <cell r="K410">
            <v>0</v>
          </cell>
        </row>
        <row r="411">
          <cell r="A411">
            <v>0</v>
          </cell>
          <cell r="K411">
            <v>0</v>
          </cell>
        </row>
        <row r="412">
          <cell r="A412">
            <v>0</v>
          </cell>
          <cell r="K412">
            <v>0</v>
          </cell>
        </row>
        <row r="413">
          <cell r="A413">
            <v>0</v>
          </cell>
          <cell r="K413">
            <v>0</v>
          </cell>
        </row>
        <row r="414">
          <cell r="A414">
            <v>0</v>
          </cell>
          <cell r="K414">
            <v>0</v>
          </cell>
        </row>
        <row r="415">
          <cell r="A415">
            <v>0</v>
          </cell>
          <cell r="K415">
            <v>0</v>
          </cell>
        </row>
        <row r="416">
          <cell r="A416">
            <v>0</v>
          </cell>
          <cell r="K416">
            <v>0</v>
          </cell>
        </row>
        <row r="417">
          <cell r="A417">
            <v>0</v>
          </cell>
          <cell r="K417">
            <v>0</v>
          </cell>
        </row>
        <row r="418">
          <cell r="A418">
            <v>0</v>
          </cell>
          <cell r="K418">
            <v>0</v>
          </cell>
        </row>
        <row r="419">
          <cell r="A419">
            <v>0</v>
          </cell>
          <cell r="K419">
            <v>0</v>
          </cell>
        </row>
        <row r="420">
          <cell r="A420">
            <v>0</v>
          </cell>
          <cell r="K420">
            <v>0</v>
          </cell>
        </row>
        <row r="421">
          <cell r="A421">
            <v>0</v>
          </cell>
          <cell r="K421">
            <v>0</v>
          </cell>
        </row>
        <row r="422">
          <cell r="A422">
            <v>0</v>
          </cell>
          <cell r="K422">
            <v>0</v>
          </cell>
        </row>
        <row r="423">
          <cell r="A423">
            <v>0</v>
          </cell>
          <cell r="K423">
            <v>0</v>
          </cell>
        </row>
        <row r="424">
          <cell r="A424">
            <v>0</v>
          </cell>
          <cell r="K424">
            <v>0</v>
          </cell>
        </row>
        <row r="425">
          <cell r="A425">
            <v>0</v>
          </cell>
          <cell r="K425">
            <v>0</v>
          </cell>
        </row>
        <row r="426">
          <cell r="A426">
            <v>0</v>
          </cell>
          <cell r="K426">
            <v>0</v>
          </cell>
        </row>
        <row r="427">
          <cell r="A427">
            <v>0</v>
          </cell>
          <cell r="K427">
            <v>0</v>
          </cell>
        </row>
        <row r="428">
          <cell r="A428">
            <v>0</v>
          </cell>
          <cell r="K428">
            <v>0</v>
          </cell>
        </row>
        <row r="429">
          <cell r="A429">
            <v>0</v>
          </cell>
          <cell r="K429">
            <v>0</v>
          </cell>
        </row>
        <row r="430">
          <cell r="A430">
            <v>0</v>
          </cell>
          <cell r="K430">
            <v>0</v>
          </cell>
        </row>
        <row r="431">
          <cell r="A431">
            <v>0</v>
          </cell>
          <cell r="K431">
            <v>0</v>
          </cell>
        </row>
        <row r="432">
          <cell r="A432">
            <v>0</v>
          </cell>
          <cell r="K432">
            <v>0</v>
          </cell>
        </row>
        <row r="433">
          <cell r="A433">
            <v>0</v>
          </cell>
          <cell r="K433">
            <v>0</v>
          </cell>
        </row>
        <row r="434">
          <cell r="A434">
            <v>0</v>
          </cell>
          <cell r="K434">
            <v>0</v>
          </cell>
        </row>
        <row r="435">
          <cell r="A435">
            <v>0</v>
          </cell>
          <cell r="K435">
            <v>0</v>
          </cell>
        </row>
        <row r="436">
          <cell r="A436">
            <v>0</v>
          </cell>
          <cell r="K436">
            <v>0</v>
          </cell>
        </row>
        <row r="437">
          <cell r="A437">
            <v>0</v>
          </cell>
          <cell r="K437">
            <v>0</v>
          </cell>
        </row>
        <row r="438">
          <cell r="A438">
            <v>0</v>
          </cell>
          <cell r="K438">
            <v>0</v>
          </cell>
        </row>
        <row r="439">
          <cell r="A439">
            <v>0</v>
          </cell>
          <cell r="K439">
            <v>0</v>
          </cell>
        </row>
        <row r="440">
          <cell r="A440">
            <v>0</v>
          </cell>
          <cell r="K440">
            <v>0</v>
          </cell>
        </row>
        <row r="441">
          <cell r="A441">
            <v>0</v>
          </cell>
          <cell r="K441">
            <v>0</v>
          </cell>
        </row>
        <row r="442">
          <cell r="A442">
            <v>0</v>
          </cell>
          <cell r="K442">
            <v>0</v>
          </cell>
        </row>
        <row r="443">
          <cell r="A443">
            <v>0</v>
          </cell>
          <cell r="K443">
            <v>0</v>
          </cell>
        </row>
        <row r="444">
          <cell r="A444">
            <v>0</v>
          </cell>
          <cell r="K444">
            <v>0</v>
          </cell>
        </row>
        <row r="445">
          <cell r="A445">
            <v>0</v>
          </cell>
          <cell r="K445">
            <v>0</v>
          </cell>
        </row>
        <row r="446">
          <cell r="A446">
            <v>0</v>
          </cell>
          <cell r="K446">
            <v>0</v>
          </cell>
        </row>
        <row r="447">
          <cell r="A447">
            <v>0</v>
          </cell>
          <cell r="K447">
            <v>0</v>
          </cell>
        </row>
        <row r="448">
          <cell r="A448">
            <v>0</v>
          </cell>
          <cell r="K448">
            <v>0</v>
          </cell>
        </row>
        <row r="449">
          <cell r="A449">
            <v>0</v>
          </cell>
          <cell r="K449">
            <v>0</v>
          </cell>
        </row>
        <row r="450">
          <cell r="A450">
            <v>0</v>
          </cell>
          <cell r="K450">
            <v>0</v>
          </cell>
        </row>
        <row r="451">
          <cell r="A451">
            <v>0</v>
          </cell>
          <cell r="K451">
            <v>0</v>
          </cell>
        </row>
        <row r="452">
          <cell r="A452">
            <v>0</v>
          </cell>
          <cell r="K452">
            <v>0</v>
          </cell>
        </row>
        <row r="453">
          <cell r="A453">
            <v>0</v>
          </cell>
          <cell r="K453">
            <v>0</v>
          </cell>
        </row>
        <row r="454">
          <cell r="A454">
            <v>0</v>
          </cell>
          <cell r="K454">
            <v>0</v>
          </cell>
        </row>
        <row r="455">
          <cell r="A455">
            <v>0</v>
          </cell>
          <cell r="K455">
            <v>0</v>
          </cell>
        </row>
        <row r="456">
          <cell r="A456">
            <v>0</v>
          </cell>
          <cell r="K456">
            <v>0</v>
          </cell>
        </row>
        <row r="457">
          <cell r="A457">
            <v>0</v>
          </cell>
          <cell r="K457">
            <v>0</v>
          </cell>
        </row>
        <row r="458">
          <cell r="A458">
            <v>0</v>
          </cell>
          <cell r="K458">
            <v>0</v>
          </cell>
        </row>
        <row r="459">
          <cell r="A459">
            <v>0</v>
          </cell>
          <cell r="K459">
            <v>0</v>
          </cell>
        </row>
        <row r="460">
          <cell r="A460">
            <v>0</v>
          </cell>
          <cell r="K460">
            <v>0</v>
          </cell>
        </row>
        <row r="461">
          <cell r="A461">
            <v>0</v>
          </cell>
          <cell r="K461">
            <v>0</v>
          </cell>
        </row>
        <row r="462">
          <cell r="A462">
            <v>0</v>
          </cell>
          <cell r="K462">
            <v>0</v>
          </cell>
        </row>
        <row r="463">
          <cell r="A463">
            <v>0</v>
          </cell>
          <cell r="K463">
            <v>0</v>
          </cell>
        </row>
        <row r="464">
          <cell r="A464">
            <v>0</v>
          </cell>
          <cell r="K464">
            <v>0</v>
          </cell>
        </row>
        <row r="465">
          <cell r="A465">
            <v>0</v>
          </cell>
          <cell r="K465">
            <v>0</v>
          </cell>
        </row>
        <row r="466">
          <cell r="A466">
            <v>0</v>
          </cell>
          <cell r="K466">
            <v>0</v>
          </cell>
        </row>
        <row r="467">
          <cell r="A467">
            <v>0</v>
          </cell>
          <cell r="K467">
            <v>0</v>
          </cell>
        </row>
        <row r="468">
          <cell r="A468">
            <v>0</v>
          </cell>
          <cell r="K468">
            <v>0</v>
          </cell>
        </row>
        <row r="469">
          <cell r="A469">
            <v>0</v>
          </cell>
          <cell r="K469">
            <v>0</v>
          </cell>
        </row>
        <row r="470">
          <cell r="A470">
            <v>0</v>
          </cell>
          <cell r="K470">
            <v>0</v>
          </cell>
        </row>
        <row r="471">
          <cell r="A471">
            <v>0</v>
          </cell>
          <cell r="K471">
            <v>0</v>
          </cell>
        </row>
        <row r="472">
          <cell r="A472">
            <v>0</v>
          </cell>
          <cell r="K472">
            <v>0</v>
          </cell>
        </row>
        <row r="473">
          <cell r="A473">
            <v>0</v>
          </cell>
          <cell r="K473">
            <v>0</v>
          </cell>
        </row>
        <row r="474">
          <cell r="A474">
            <v>0</v>
          </cell>
          <cell r="K474">
            <v>0</v>
          </cell>
        </row>
        <row r="475">
          <cell r="A475">
            <v>0</v>
          </cell>
          <cell r="K475">
            <v>0</v>
          </cell>
        </row>
        <row r="476">
          <cell r="A476">
            <v>0</v>
          </cell>
          <cell r="K476">
            <v>0</v>
          </cell>
        </row>
        <row r="477">
          <cell r="A477">
            <v>0</v>
          </cell>
          <cell r="K477">
            <v>0</v>
          </cell>
        </row>
        <row r="478">
          <cell r="A478">
            <v>0</v>
          </cell>
          <cell r="K478">
            <v>0</v>
          </cell>
        </row>
        <row r="479">
          <cell r="A479">
            <v>0</v>
          </cell>
          <cell r="K479">
            <v>0</v>
          </cell>
        </row>
        <row r="480">
          <cell r="A480">
            <v>0</v>
          </cell>
          <cell r="K480">
            <v>0</v>
          </cell>
        </row>
        <row r="481">
          <cell r="A481">
            <v>0</v>
          </cell>
          <cell r="K481">
            <v>0</v>
          </cell>
        </row>
        <row r="482">
          <cell r="A482">
            <v>0</v>
          </cell>
          <cell r="K482">
            <v>0</v>
          </cell>
        </row>
        <row r="483">
          <cell r="A483">
            <v>0</v>
          </cell>
          <cell r="K483">
            <v>0</v>
          </cell>
        </row>
        <row r="484">
          <cell r="A484">
            <v>0</v>
          </cell>
          <cell r="K484">
            <v>0</v>
          </cell>
        </row>
        <row r="485">
          <cell r="A485">
            <v>0</v>
          </cell>
          <cell r="K485">
            <v>0</v>
          </cell>
        </row>
        <row r="486">
          <cell r="A486">
            <v>0</v>
          </cell>
          <cell r="K486">
            <v>0</v>
          </cell>
        </row>
        <row r="487">
          <cell r="A487">
            <v>0</v>
          </cell>
          <cell r="K487">
            <v>0</v>
          </cell>
        </row>
        <row r="488">
          <cell r="A488">
            <v>0</v>
          </cell>
          <cell r="K488">
            <v>0</v>
          </cell>
        </row>
        <row r="489">
          <cell r="A489">
            <v>0</v>
          </cell>
          <cell r="K489">
            <v>0</v>
          </cell>
        </row>
        <row r="490">
          <cell r="A490">
            <v>0</v>
          </cell>
          <cell r="K490">
            <v>0</v>
          </cell>
        </row>
        <row r="491">
          <cell r="A491">
            <v>0</v>
          </cell>
          <cell r="K491">
            <v>0</v>
          </cell>
        </row>
        <row r="492">
          <cell r="A492">
            <v>0</v>
          </cell>
          <cell r="K492">
            <v>0</v>
          </cell>
        </row>
        <row r="493">
          <cell r="A493">
            <v>0</v>
          </cell>
          <cell r="K493">
            <v>0</v>
          </cell>
        </row>
        <row r="494">
          <cell r="A494">
            <v>0</v>
          </cell>
          <cell r="K494">
            <v>0</v>
          </cell>
        </row>
        <row r="495">
          <cell r="A495">
            <v>0</v>
          </cell>
          <cell r="K495">
            <v>0</v>
          </cell>
        </row>
        <row r="496">
          <cell r="A496">
            <v>0</v>
          </cell>
          <cell r="K496">
            <v>0</v>
          </cell>
        </row>
        <row r="497">
          <cell r="A497">
            <v>0</v>
          </cell>
          <cell r="K497">
            <v>0</v>
          </cell>
        </row>
        <row r="498">
          <cell r="A498">
            <v>0</v>
          </cell>
          <cell r="K498">
            <v>0</v>
          </cell>
        </row>
        <row r="499">
          <cell r="A499">
            <v>0</v>
          </cell>
          <cell r="K499">
            <v>0</v>
          </cell>
        </row>
        <row r="500">
          <cell r="A500">
            <v>0</v>
          </cell>
          <cell r="K500">
            <v>0</v>
          </cell>
        </row>
        <row r="501">
          <cell r="A501">
            <v>0</v>
          </cell>
          <cell r="K501">
            <v>0</v>
          </cell>
        </row>
        <row r="502">
          <cell r="A502">
            <v>0</v>
          </cell>
          <cell r="K502">
            <v>0</v>
          </cell>
        </row>
        <row r="503">
          <cell r="A503">
            <v>0</v>
          </cell>
          <cell r="K503">
            <v>0</v>
          </cell>
        </row>
        <row r="504">
          <cell r="A504">
            <v>0</v>
          </cell>
          <cell r="K504">
            <v>0</v>
          </cell>
        </row>
        <row r="505">
          <cell r="A505">
            <v>0</v>
          </cell>
          <cell r="K505">
            <v>0</v>
          </cell>
        </row>
        <row r="506">
          <cell r="A506">
            <v>0</v>
          </cell>
          <cell r="K506">
            <v>0</v>
          </cell>
        </row>
        <row r="507">
          <cell r="A507">
            <v>0</v>
          </cell>
          <cell r="K507">
            <v>0</v>
          </cell>
        </row>
        <row r="508">
          <cell r="A508">
            <v>0</v>
          </cell>
          <cell r="K508">
            <v>0</v>
          </cell>
        </row>
        <row r="509">
          <cell r="A509">
            <v>0</v>
          </cell>
          <cell r="K509">
            <v>0</v>
          </cell>
        </row>
        <row r="510">
          <cell r="A510">
            <v>0</v>
          </cell>
          <cell r="K510">
            <v>0</v>
          </cell>
        </row>
        <row r="511">
          <cell r="A511">
            <v>0</v>
          </cell>
          <cell r="K511">
            <v>0</v>
          </cell>
        </row>
        <row r="512">
          <cell r="A512">
            <v>0</v>
          </cell>
          <cell r="K512">
            <v>0</v>
          </cell>
        </row>
        <row r="513">
          <cell r="A513">
            <v>0</v>
          </cell>
          <cell r="K513">
            <v>0</v>
          </cell>
        </row>
        <row r="514">
          <cell r="A514">
            <v>0</v>
          </cell>
          <cell r="K514">
            <v>0</v>
          </cell>
        </row>
        <row r="515">
          <cell r="A515">
            <v>0</v>
          </cell>
          <cell r="K515">
            <v>0</v>
          </cell>
        </row>
        <row r="516">
          <cell r="A516">
            <v>0</v>
          </cell>
          <cell r="K516">
            <v>0</v>
          </cell>
        </row>
        <row r="517">
          <cell r="A517">
            <v>0</v>
          </cell>
          <cell r="K517">
            <v>0</v>
          </cell>
        </row>
        <row r="518">
          <cell r="A518">
            <v>0</v>
          </cell>
          <cell r="K518">
            <v>0</v>
          </cell>
        </row>
        <row r="519">
          <cell r="A519">
            <v>0</v>
          </cell>
          <cell r="K519">
            <v>0</v>
          </cell>
        </row>
        <row r="520">
          <cell r="A520">
            <v>0</v>
          </cell>
          <cell r="K520">
            <v>0</v>
          </cell>
        </row>
        <row r="521">
          <cell r="A521">
            <v>0</v>
          </cell>
          <cell r="K521">
            <v>0</v>
          </cell>
        </row>
        <row r="522">
          <cell r="A522">
            <v>0</v>
          </cell>
          <cell r="K522">
            <v>0</v>
          </cell>
        </row>
        <row r="523">
          <cell r="A523">
            <v>0</v>
          </cell>
          <cell r="K523">
            <v>0</v>
          </cell>
        </row>
        <row r="524">
          <cell r="A524">
            <v>0</v>
          </cell>
          <cell r="K524">
            <v>0</v>
          </cell>
        </row>
        <row r="525">
          <cell r="A525">
            <v>0</v>
          </cell>
          <cell r="K525">
            <v>0</v>
          </cell>
        </row>
        <row r="526">
          <cell r="A526">
            <v>0</v>
          </cell>
          <cell r="K526">
            <v>0</v>
          </cell>
        </row>
        <row r="527">
          <cell r="A527">
            <v>0</v>
          </cell>
          <cell r="K527">
            <v>0</v>
          </cell>
        </row>
        <row r="528">
          <cell r="A528">
            <v>0</v>
          </cell>
          <cell r="K528">
            <v>0</v>
          </cell>
        </row>
        <row r="529">
          <cell r="A529">
            <v>0</v>
          </cell>
          <cell r="K529">
            <v>0</v>
          </cell>
        </row>
        <row r="530">
          <cell r="A530">
            <v>0</v>
          </cell>
          <cell r="K530">
            <v>0</v>
          </cell>
        </row>
        <row r="531">
          <cell r="A531">
            <v>0</v>
          </cell>
          <cell r="K531">
            <v>0</v>
          </cell>
        </row>
        <row r="532">
          <cell r="A532">
            <v>0</v>
          </cell>
          <cell r="K532">
            <v>0</v>
          </cell>
        </row>
        <row r="533">
          <cell r="A533">
            <v>0</v>
          </cell>
          <cell r="K533">
            <v>0</v>
          </cell>
        </row>
        <row r="534">
          <cell r="A534">
            <v>0</v>
          </cell>
          <cell r="K534">
            <v>0</v>
          </cell>
        </row>
        <row r="535">
          <cell r="A535">
            <v>0</v>
          </cell>
          <cell r="K535">
            <v>0</v>
          </cell>
        </row>
        <row r="536">
          <cell r="A536">
            <v>0</v>
          </cell>
          <cell r="K536">
            <v>0</v>
          </cell>
        </row>
        <row r="537">
          <cell r="A537">
            <v>0</v>
          </cell>
          <cell r="K537">
            <v>0</v>
          </cell>
        </row>
        <row r="538">
          <cell r="A538">
            <v>0</v>
          </cell>
          <cell r="K538">
            <v>0</v>
          </cell>
        </row>
        <row r="539">
          <cell r="A539">
            <v>0</v>
          </cell>
          <cell r="K539">
            <v>0</v>
          </cell>
        </row>
        <row r="540">
          <cell r="A540">
            <v>0</v>
          </cell>
          <cell r="K540">
            <v>0</v>
          </cell>
        </row>
        <row r="541">
          <cell r="A541">
            <v>0</v>
          </cell>
          <cell r="K541">
            <v>0</v>
          </cell>
        </row>
        <row r="542">
          <cell r="A542">
            <v>0</v>
          </cell>
          <cell r="K542">
            <v>0</v>
          </cell>
        </row>
        <row r="543">
          <cell r="A543">
            <v>0</v>
          </cell>
          <cell r="K543">
            <v>0</v>
          </cell>
        </row>
        <row r="544">
          <cell r="A544">
            <v>0</v>
          </cell>
          <cell r="K544">
            <v>0</v>
          </cell>
        </row>
        <row r="545">
          <cell r="A545">
            <v>0</v>
          </cell>
          <cell r="K545">
            <v>0</v>
          </cell>
        </row>
        <row r="546">
          <cell r="A546">
            <v>0</v>
          </cell>
          <cell r="K546">
            <v>0</v>
          </cell>
        </row>
        <row r="547">
          <cell r="A547">
            <v>0</v>
          </cell>
          <cell r="K547">
            <v>0</v>
          </cell>
        </row>
        <row r="548">
          <cell r="A548">
            <v>0</v>
          </cell>
          <cell r="K548">
            <v>0</v>
          </cell>
        </row>
        <row r="549">
          <cell r="A549">
            <v>0</v>
          </cell>
          <cell r="K549">
            <v>0</v>
          </cell>
        </row>
        <row r="550">
          <cell r="A550">
            <v>0</v>
          </cell>
          <cell r="K550">
            <v>0</v>
          </cell>
        </row>
        <row r="551">
          <cell r="A551">
            <v>0</v>
          </cell>
          <cell r="K551">
            <v>0</v>
          </cell>
        </row>
        <row r="552">
          <cell r="A552">
            <v>0</v>
          </cell>
          <cell r="K552">
            <v>0</v>
          </cell>
        </row>
        <row r="553">
          <cell r="A553">
            <v>0</v>
          </cell>
          <cell r="K553">
            <v>0</v>
          </cell>
        </row>
        <row r="554">
          <cell r="A554">
            <v>0</v>
          </cell>
          <cell r="K554">
            <v>0</v>
          </cell>
        </row>
        <row r="555">
          <cell r="A555">
            <v>0</v>
          </cell>
          <cell r="K555">
            <v>0</v>
          </cell>
        </row>
        <row r="556">
          <cell r="A556">
            <v>0</v>
          </cell>
          <cell r="K556">
            <v>0</v>
          </cell>
        </row>
        <row r="557">
          <cell r="A557">
            <v>0</v>
          </cell>
          <cell r="K557">
            <v>0</v>
          </cell>
        </row>
        <row r="558">
          <cell r="A558">
            <v>0</v>
          </cell>
          <cell r="K558">
            <v>0</v>
          </cell>
        </row>
        <row r="559">
          <cell r="A559">
            <v>0</v>
          </cell>
          <cell r="K559">
            <v>0</v>
          </cell>
        </row>
        <row r="560">
          <cell r="A560">
            <v>0</v>
          </cell>
          <cell r="K560">
            <v>0</v>
          </cell>
        </row>
        <row r="561">
          <cell r="A561">
            <v>0</v>
          </cell>
          <cell r="K561">
            <v>0</v>
          </cell>
        </row>
        <row r="562">
          <cell r="A562">
            <v>0</v>
          </cell>
          <cell r="K562">
            <v>0</v>
          </cell>
        </row>
        <row r="563">
          <cell r="A563">
            <v>0</v>
          </cell>
          <cell r="K563">
            <v>0</v>
          </cell>
        </row>
        <row r="564">
          <cell r="A564">
            <v>0</v>
          </cell>
          <cell r="K564">
            <v>0</v>
          </cell>
        </row>
        <row r="565">
          <cell r="A565">
            <v>0</v>
          </cell>
          <cell r="K565">
            <v>0</v>
          </cell>
        </row>
        <row r="566">
          <cell r="A566">
            <v>0</v>
          </cell>
          <cell r="K566">
            <v>0</v>
          </cell>
        </row>
        <row r="567">
          <cell r="A567">
            <v>0</v>
          </cell>
          <cell r="K567">
            <v>0</v>
          </cell>
        </row>
        <row r="568">
          <cell r="A568">
            <v>0</v>
          </cell>
          <cell r="K568">
            <v>0</v>
          </cell>
        </row>
        <row r="569">
          <cell r="A569">
            <v>0</v>
          </cell>
          <cell r="K569">
            <v>0</v>
          </cell>
        </row>
        <row r="570">
          <cell r="A570">
            <v>0</v>
          </cell>
          <cell r="K570">
            <v>0</v>
          </cell>
        </row>
        <row r="571">
          <cell r="A571">
            <v>0</v>
          </cell>
          <cell r="K571">
            <v>0</v>
          </cell>
        </row>
        <row r="572">
          <cell r="A572">
            <v>0</v>
          </cell>
          <cell r="K572">
            <v>0</v>
          </cell>
        </row>
        <row r="573">
          <cell r="A573">
            <v>0</v>
          </cell>
          <cell r="K573">
            <v>0</v>
          </cell>
        </row>
        <row r="574">
          <cell r="A574">
            <v>0</v>
          </cell>
          <cell r="K574">
            <v>0</v>
          </cell>
        </row>
        <row r="575">
          <cell r="A575">
            <v>0</v>
          </cell>
          <cell r="K575">
            <v>0</v>
          </cell>
        </row>
        <row r="576">
          <cell r="A576">
            <v>0</v>
          </cell>
          <cell r="K576">
            <v>0</v>
          </cell>
        </row>
        <row r="577">
          <cell r="A577">
            <v>0</v>
          </cell>
          <cell r="K577">
            <v>0</v>
          </cell>
        </row>
        <row r="578">
          <cell r="A578">
            <v>0</v>
          </cell>
          <cell r="K578">
            <v>0</v>
          </cell>
        </row>
        <row r="579">
          <cell r="A579">
            <v>0</v>
          </cell>
          <cell r="K579">
            <v>0</v>
          </cell>
        </row>
        <row r="580">
          <cell r="A580">
            <v>0</v>
          </cell>
          <cell r="K580">
            <v>0</v>
          </cell>
        </row>
        <row r="581">
          <cell r="A581">
            <v>0</v>
          </cell>
          <cell r="K581">
            <v>0</v>
          </cell>
        </row>
        <row r="582">
          <cell r="A582">
            <v>0</v>
          </cell>
          <cell r="K582">
            <v>0</v>
          </cell>
        </row>
        <row r="583">
          <cell r="A583">
            <v>0</v>
          </cell>
          <cell r="K583">
            <v>0</v>
          </cell>
        </row>
        <row r="584">
          <cell r="A584">
            <v>0</v>
          </cell>
          <cell r="K584">
            <v>0</v>
          </cell>
        </row>
        <row r="585">
          <cell r="A585">
            <v>0</v>
          </cell>
          <cell r="K585">
            <v>0</v>
          </cell>
        </row>
        <row r="586">
          <cell r="A586">
            <v>0</v>
          </cell>
          <cell r="K586">
            <v>0</v>
          </cell>
        </row>
        <row r="587">
          <cell r="A587">
            <v>0</v>
          </cell>
          <cell r="K587">
            <v>0</v>
          </cell>
        </row>
        <row r="588">
          <cell r="A588">
            <v>0</v>
          </cell>
          <cell r="K588">
            <v>0</v>
          </cell>
        </row>
        <row r="589">
          <cell r="A589">
            <v>0</v>
          </cell>
          <cell r="K589">
            <v>0</v>
          </cell>
        </row>
        <row r="590">
          <cell r="A590">
            <v>0</v>
          </cell>
          <cell r="K590">
            <v>0</v>
          </cell>
        </row>
        <row r="591">
          <cell r="A591">
            <v>0</v>
          </cell>
          <cell r="K591">
            <v>0</v>
          </cell>
        </row>
        <row r="592">
          <cell r="A592">
            <v>0</v>
          </cell>
          <cell r="K592">
            <v>0</v>
          </cell>
        </row>
        <row r="593">
          <cell r="A593">
            <v>0</v>
          </cell>
          <cell r="K593">
            <v>0</v>
          </cell>
        </row>
        <row r="594">
          <cell r="A594">
            <v>0</v>
          </cell>
          <cell r="K594">
            <v>0</v>
          </cell>
        </row>
        <row r="595">
          <cell r="A595">
            <v>0</v>
          </cell>
          <cell r="K595">
            <v>0</v>
          </cell>
        </row>
        <row r="596">
          <cell r="A596">
            <v>0</v>
          </cell>
          <cell r="K596">
            <v>0</v>
          </cell>
        </row>
        <row r="597">
          <cell r="A597">
            <v>0</v>
          </cell>
          <cell r="K597">
            <v>0</v>
          </cell>
        </row>
        <row r="598">
          <cell r="A598">
            <v>0</v>
          </cell>
          <cell r="K598">
            <v>0</v>
          </cell>
        </row>
        <row r="599">
          <cell r="A599">
            <v>0</v>
          </cell>
          <cell r="K599">
            <v>0</v>
          </cell>
        </row>
        <row r="600">
          <cell r="A600">
            <v>0</v>
          </cell>
          <cell r="K600">
            <v>0</v>
          </cell>
        </row>
        <row r="601">
          <cell r="A601">
            <v>0</v>
          </cell>
          <cell r="K601">
            <v>0</v>
          </cell>
        </row>
        <row r="602">
          <cell r="A602">
            <v>0</v>
          </cell>
          <cell r="K602">
            <v>0</v>
          </cell>
        </row>
        <row r="603">
          <cell r="A603">
            <v>0</v>
          </cell>
          <cell r="K603">
            <v>0</v>
          </cell>
        </row>
        <row r="604">
          <cell r="A604">
            <v>0</v>
          </cell>
          <cell r="K604">
            <v>0</v>
          </cell>
        </row>
        <row r="605">
          <cell r="A605">
            <v>0</v>
          </cell>
          <cell r="K605">
            <v>0</v>
          </cell>
        </row>
        <row r="606">
          <cell r="A606">
            <v>0</v>
          </cell>
          <cell r="K606">
            <v>0</v>
          </cell>
        </row>
        <row r="607">
          <cell r="A607">
            <v>0</v>
          </cell>
          <cell r="K607">
            <v>0</v>
          </cell>
        </row>
        <row r="608">
          <cell r="A608">
            <v>0</v>
          </cell>
          <cell r="K608">
            <v>0</v>
          </cell>
        </row>
        <row r="609">
          <cell r="A609">
            <v>0</v>
          </cell>
          <cell r="K609">
            <v>0</v>
          </cell>
        </row>
        <row r="610">
          <cell r="A610">
            <v>0</v>
          </cell>
          <cell r="K610">
            <v>0</v>
          </cell>
        </row>
        <row r="611">
          <cell r="A611">
            <v>0</v>
          </cell>
          <cell r="K611">
            <v>0</v>
          </cell>
        </row>
        <row r="612">
          <cell r="A612">
            <v>0</v>
          </cell>
          <cell r="K612">
            <v>0</v>
          </cell>
        </row>
        <row r="613">
          <cell r="A613">
            <v>0</v>
          </cell>
          <cell r="K613">
            <v>0</v>
          </cell>
        </row>
        <row r="614">
          <cell r="A614">
            <v>0</v>
          </cell>
          <cell r="K614">
            <v>0</v>
          </cell>
        </row>
        <row r="615">
          <cell r="A615">
            <v>0</v>
          </cell>
          <cell r="K615">
            <v>0</v>
          </cell>
        </row>
        <row r="616">
          <cell r="A616">
            <v>0</v>
          </cell>
          <cell r="K616">
            <v>0</v>
          </cell>
        </row>
        <row r="617">
          <cell r="A617">
            <v>0</v>
          </cell>
          <cell r="K617">
            <v>0</v>
          </cell>
        </row>
        <row r="618">
          <cell r="A618">
            <v>0</v>
          </cell>
          <cell r="K618">
            <v>0</v>
          </cell>
        </row>
        <row r="619">
          <cell r="A619">
            <v>0</v>
          </cell>
          <cell r="K619">
            <v>0</v>
          </cell>
        </row>
        <row r="620">
          <cell r="A620">
            <v>0</v>
          </cell>
          <cell r="K620">
            <v>0</v>
          </cell>
        </row>
        <row r="621">
          <cell r="A621">
            <v>0</v>
          </cell>
          <cell r="K621">
            <v>0</v>
          </cell>
        </row>
        <row r="622">
          <cell r="A622">
            <v>0</v>
          </cell>
          <cell r="K622">
            <v>0</v>
          </cell>
        </row>
        <row r="623">
          <cell r="A623">
            <v>0</v>
          </cell>
          <cell r="K623">
            <v>0</v>
          </cell>
        </row>
        <row r="624">
          <cell r="A624">
            <v>0</v>
          </cell>
          <cell r="K624">
            <v>0</v>
          </cell>
        </row>
        <row r="625">
          <cell r="A625">
            <v>0</v>
          </cell>
          <cell r="K625">
            <v>0</v>
          </cell>
        </row>
        <row r="626">
          <cell r="A626">
            <v>0</v>
          </cell>
          <cell r="K626">
            <v>0</v>
          </cell>
        </row>
        <row r="627">
          <cell r="A627">
            <v>0</v>
          </cell>
          <cell r="K627">
            <v>0</v>
          </cell>
        </row>
        <row r="628">
          <cell r="A628">
            <v>0</v>
          </cell>
          <cell r="K628">
            <v>0</v>
          </cell>
        </row>
        <row r="629">
          <cell r="A629">
            <v>0</v>
          </cell>
          <cell r="K629">
            <v>0</v>
          </cell>
        </row>
        <row r="630">
          <cell r="A630">
            <v>0</v>
          </cell>
          <cell r="K630">
            <v>0</v>
          </cell>
        </row>
        <row r="631">
          <cell r="A631">
            <v>0</v>
          </cell>
          <cell r="K631">
            <v>0</v>
          </cell>
        </row>
        <row r="632">
          <cell r="A632">
            <v>0</v>
          </cell>
          <cell r="K632">
            <v>0</v>
          </cell>
        </row>
        <row r="633">
          <cell r="A633">
            <v>0</v>
          </cell>
          <cell r="K633">
            <v>0</v>
          </cell>
        </row>
        <row r="634">
          <cell r="A634">
            <v>0</v>
          </cell>
          <cell r="K634">
            <v>0</v>
          </cell>
        </row>
        <row r="635">
          <cell r="A635">
            <v>0</v>
          </cell>
          <cell r="K635">
            <v>0</v>
          </cell>
        </row>
        <row r="636">
          <cell r="A636">
            <v>0</v>
          </cell>
          <cell r="K636">
            <v>0</v>
          </cell>
        </row>
        <row r="637">
          <cell r="A637">
            <v>0</v>
          </cell>
          <cell r="K637">
            <v>0</v>
          </cell>
        </row>
        <row r="638">
          <cell r="A638">
            <v>0</v>
          </cell>
          <cell r="K638">
            <v>0</v>
          </cell>
        </row>
        <row r="639">
          <cell r="A639">
            <v>0</v>
          </cell>
          <cell r="K639">
            <v>0</v>
          </cell>
        </row>
        <row r="640">
          <cell r="A640">
            <v>0</v>
          </cell>
          <cell r="K640">
            <v>0</v>
          </cell>
        </row>
        <row r="641">
          <cell r="A641">
            <v>0</v>
          </cell>
          <cell r="K641">
            <v>0</v>
          </cell>
        </row>
        <row r="642">
          <cell r="A642">
            <v>0</v>
          </cell>
          <cell r="K642">
            <v>0</v>
          </cell>
        </row>
        <row r="643">
          <cell r="A643">
            <v>0</v>
          </cell>
          <cell r="K643">
            <v>0</v>
          </cell>
        </row>
        <row r="644">
          <cell r="A644">
            <v>0</v>
          </cell>
          <cell r="K644">
            <v>0</v>
          </cell>
        </row>
        <row r="645">
          <cell r="A645">
            <v>0</v>
          </cell>
          <cell r="K645">
            <v>0</v>
          </cell>
        </row>
        <row r="646">
          <cell r="A646">
            <v>0</v>
          </cell>
          <cell r="K646">
            <v>0</v>
          </cell>
        </row>
        <row r="647">
          <cell r="A647">
            <v>0</v>
          </cell>
          <cell r="K647">
            <v>0</v>
          </cell>
        </row>
        <row r="648">
          <cell r="A648">
            <v>0</v>
          </cell>
          <cell r="K648">
            <v>0</v>
          </cell>
        </row>
        <row r="649">
          <cell r="A649">
            <v>0</v>
          </cell>
          <cell r="K649">
            <v>0</v>
          </cell>
        </row>
        <row r="650">
          <cell r="A650">
            <v>0</v>
          </cell>
          <cell r="K650">
            <v>0</v>
          </cell>
        </row>
        <row r="651">
          <cell r="A651">
            <v>0</v>
          </cell>
          <cell r="K651">
            <v>0</v>
          </cell>
        </row>
        <row r="652">
          <cell r="A652">
            <v>0</v>
          </cell>
          <cell r="K652">
            <v>0</v>
          </cell>
        </row>
        <row r="653">
          <cell r="A653">
            <v>0</v>
          </cell>
          <cell r="K653">
            <v>0</v>
          </cell>
        </row>
        <row r="654">
          <cell r="A654">
            <v>0</v>
          </cell>
          <cell r="K654">
            <v>0</v>
          </cell>
        </row>
        <row r="655">
          <cell r="A655">
            <v>0</v>
          </cell>
          <cell r="K655">
            <v>0</v>
          </cell>
        </row>
        <row r="656">
          <cell r="A656">
            <v>0</v>
          </cell>
          <cell r="K656">
            <v>0</v>
          </cell>
        </row>
        <row r="657">
          <cell r="A657">
            <v>0</v>
          </cell>
          <cell r="K657">
            <v>0</v>
          </cell>
        </row>
        <row r="658">
          <cell r="A658">
            <v>0</v>
          </cell>
          <cell r="K658">
            <v>0</v>
          </cell>
        </row>
        <row r="659">
          <cell r="A659">
            <v>0</v>
          </cell>
          <cell r="K659">
            <v>0</v>
          </cell>
        </row>
        <row r="660">
          <cell r="A660">
            <v>0</v>
          </cell>
          <cell r="K660">
            <v>0</v>
          </cell>
        </row>
        <row r="661">
          <cell r="A661">
            <v>0</v>
          </cell>
          <cell r="K661">
            <v>0</v>
          </cell>
        </row>
        <row r="662">
          <cell r="A662">
            <v>0</v>
          </cell>
          <cell r="K662">
            <v>0</v>
          </cell>
        </row>
        <row r="663">
          <cell r="A663">
            <v>0</v>
          </cell>
          <cell r="K663">
            <v>0</v>
          </cell>
        </row>
        <row r="664">
          <cell r="A664">
            <v>0</v>
          </cell>
          <cell r="K664">
            <v>0</v>
          </cell>
        </row>
        <row r="665">
          <cell r="A665">
            <v>0</v>
          </cell>
          <cell r="K665">
            <v>0</v>
          </cell>
        </row>
        <row r="666">
          <cell r="A666">
            <v>0</v>
          </cell>
          <cell r="K666">
            <v>0</v>
          </cell>
        </row>
        <row r="667">
          <cell r="A667">
            <v>0</v>
          </cell>
          <cell r="K667">
            <v>0</v>
          </cell>
        </row>
        <row r="668">
          <cell r="A668">
            <v>0</v>
          </cell>
          <cell r="K668">
            <v>0</v>
          </cell>
        </row>
        <row r="669">
          <cell r="A669">
            <v>0</v>
          </cell>
          <cell r="K669">
            <v>0</v>
          </cell>
        </row>
        <row r="670">
          <cell r="A670">
            <v>0</v>
          </cell>
          <cell r="K670">
            <v>0</v>
          </cell>
        </row>
        <row r="671">
          <cell r="A671">
            <v>0</v>
          </cell>
          <cell r="K671">
            <v>0</v>
          </cell>
        </row>
        <row r="672">
          <cell r="A672">
            <v>0</v>
          </cell>
          <cell r="K672">
            <v>0</v>
          </cell>
        </row>
        <row r="673">
          <cell r="A673">
            <v>0</v>
          </cell>
          <cell r="K673">
            <v>0</v>
          </cell>
        </row>
        <row r="674">
          <cell r="A674">
            <v>0</v>
          </cell>
          <cell r="K674">
            <v>0</v>
          </cell>
        </row>
        <row r="675">
          <cell r="A675">
            <v>0</v>
          </cell>
          <cell r="K675">
            <v>0</v>
          </cell>
        </row>
        <row r="676">
          <cell r="A676">
            <v>0</v>
          </cell>
          <cell r="K676">
            <v>0</v>
          </cell>
        </row>
        <row r="677">
          <cell r="A677">
            <v>0</v>
          </cell>
          <cell r="K677">
            <v>0</v>
          </cell>
        </row>
        <row r="678">
          <cell r="A678">
            <v>0</v>
          </cell>
          <cell r="K678">
            <v>0</v>
          </cell>
        </row>
        <row r="679">
          <cell r="A679">
            <v>0</v>
          </cell>
          <cell r="K679">
            <v>0</v>
          </cell>
        </row>
        <row r="680">
          <cell r="A680">
            <v>0</v>
          </cell>
          <cell r="K680">
            <v>0</v>
          </cell>
        </row>
        <row r="681">
          <cell r="A681">
            <v>0</v>
          </cell>
          <cell r="K681">
            <v>0</v>
          </cell>
        </row>
        <row r="682">
          <cell r="A682">
            <v>0</v>
          </cell>
          <cell r="K682">
            <v>0</v>
          </cell>
        </row>
        <row r="683">
          <cell r="A683">
            <v>0</v>
          </cell>
          <cell r="K683">
            <v>0</v>
          </cell>
        </row>
        <row r="684">
          <cell r="A684">
            <v>0</v>
          </cell>
          <cell r="K684">
            <v>0</v>
          </cell>
        </row>
        <row r="685">
          <cell r="A685">
            <v>0</v>
          </cell>
          <cell r="K685">
            <v>0</v>
          </cell>
        </row>
        <row r="686">
          <cell r="A686">
            <v>0</v>
          </cell>
          <cell r="K686">
            <v>0</v>
          </cell>
        </row>
        <row r="687">
          <cell r="A687">
            <v>0</v>
          </cell>
          <cell r="K687">
            <v>0</v>
          </cell>
        </row>
        <row r="688">
          <cell r="A688">
            <v>0</v>
          </cell>
          <cell r="K688">
            <v>0</v>
          </cell>
        </row>
        <row r="689">
          <cell r="A689">
            <v>0</v>
          </cell>
          <cell r="K689">
            <v>0</v>
          </cell>
        </row>
        <row r="690">
          <cell r="A690">
            <v>0</v>
          </cell>
          <cell r="K690">
            <v>0</v>
          </cell>
        </row>
        <row r="691">
          <cell r="A691">
            <v>0</v>
          </cell>
          <cell r="K691">
            <v>0</v>
          </cell>
        </row>
        <row r="692">
          <cell r="A692">
            <v>0</v>
          </cell>
          <cell r="K692">
            <v>0</v>
          </cell>
        </row>
        <row r="693">
          <cell r="A693">
            <v>0</v>
          </cell>
          <cell r="K693">
            <v>0</v>
          </cell>
        </row>
        <row r="694">
          <cell r="A694">
            <v>0</v>
          </cell>
          <cell r="K694">
            <v>0</v>
          </cell>
        </row>
        <row r="695">
          <cell r="A695">
            <v>0</v>
          </cell>
          <cell r="K695">
            <v>0</v>
          </cell>
        </row>
        <row r="696">
          <cell r="A696">
            <v>0</v>
          </cell>
          <cell r="K696">
            <v>0</v>
          </cell>
        </row>
        <row r="697">
          <cell r="A697">
            <v>0</v>
          </cell>
          <cell r="K697">
            <v>0</v>
          </cell>
        </row>
        <row r="698">
          <cell r="A698">
            <v>0</v>
          </cell>
          <cell r="K698">
            <v>0</v>
          </cell>
        </row>
        <row r="699">
          <cell r="A699">
            <v>0</v>
          </cell>
          <cell r="K699">
            <v>0</v>
          </cell>
        </row>
        <row r="700">
          <cell r="A700">
            <v>0</v>
          </cell>
          <cell r="K700">
            <v>0</v>
          </cell>
        </row>
        <row r="701">
          <cell r="A701">
            <v>0</v>
          </cell>
          <cell r="K701">
            <v>0</v>
          </cell>
        </row>
        <row r="702">
          <cell r="A702">
            <v>0</v>
          </cell>
          <cell r="K702">
            <v>0</v>
          </cell>
        </row>
        <row r="703">
          <cell r="A703">
            <v>0</v>
          </cell>
          <cell r="K703">
            <v>0</v>
          </cell>
        </row>
        <row r="704">
          <cell r="A704">
            <v>0</v>
          </cell>
          <cell r="K704">
            <v>0</v>
          </cell>
        </row>
        <row r="705">
          <cell r="A705">
            <v>0</v>
          </cell>
          <cell r="K705">
            <v>0</v>
          </cell>
        </row>
        <row r="706">
          <cell r="A706">
            <v>0</v>
          </cell>
          <cell r="K706">
            <v>0</v>
          </cell>
        </row>
        <row r="707">
          <cell r="A707">
            <v>0</v>
          </cell>
          <cell r="K707">
            <v>0</v>
          </cell>
        </row>
        <row r="708">
          <cell r="A708">
            <v>0</v>
          </cell>
          <cell r="K708">
            <v>0</v>
          </cell>
        </row>
        <row r="709">
          <cell r="A709">
            <v>0</v>
          </cell>
          <cell r="K709">
            <v>0</v>
          </cell>
        </row>
        <row r="710">
          <cell r="A710">
            <v>0</v>
          </cell>
          <cell r="K710">
            <v>0</v>
          </cell>
        </row>
        <row r="711">
          <cell r="A711">
            <v>0</v>
          </cell>
          <cell r="K711">
            <v>0</v>
          </cell>
        </row>
        <row r="712">
          <cell r="A712">
            <v>0</v>
          </cell>
          <cell r="K712">
            <v>0</v>
          </cell>
        </row>
        <row r="713">
          <cell r="A713">
            <v>0</v>
          </cell>
          <cell r="K713">
            <v>0</v>
          </cell>
        </row>
        <row r="714">
          <cell r="A714">
            <v>0</v>
          </cell>
          <cell r="K714">
            <v>0</v>
          </cell>
        </row>
        <row r="715">
          <cell r="A715">
            <v>0</v>
          </cell>
          <cell r="K715">
            <v>0</v>
          </cell>
        </row>
        <row r="716">
          <cell r="A716">
            <v>0</v>
          </cell>
          <cell r="K716">
            <v>0</v>
          </cell>
        </row>
        <row r="717">
          <cell r="A717">
            <v>0</v>
          </cell>
          <cell r="K717">
            <v>0</v>
          </cell>
        </row>
        <row r="718">
          <cell r="A718">
            <v>0</v>
          </cell>
          <cell r="K718">
            <v>0</v>
          </cell>
        </row>
        <row r="719">
          <cell r="A719">
            <v>0</v>
          </cell>
          <cell r="K719">
            <v>0</v>
          </cell>
        </row>
        <row r="720">
          <cell r="A720">
            <v>0</v>
          </cell>
          <cell r="K720">
            <v>0</v>
          </cell>
        </row>
        <row r="721">
          <cell r="A721">
            <v>0</v>
          </cell>
          <cell r="K721">
            <v>0</v>
          </cell>
        </row>
        <row r="722">
          <cell r="A722">
            <v>0</v>
          </cell>
          <cell r="K722">
            <v>0</v>
          </cell>
        </row>
        <row r="723">
          <cell r="A723">
            <v>0</v>
          </cell>
          <cell r="K723">
            <v>0</v>
          </cell>
        </row>
        <row r="724">
          <cell r="A724">
            <v>0</v>
          </cell>
          <cell r="K724">
            <v>0</v>
          </cell>
        </row>
        <row r="725">
          <cell r="A725">
            <v>0</v>
          </cell>
          <cell r="K725">
            <v>0</v>
          </cell>
        </row>
        <row r="726">
          <cell r="A726">
            <v>0</v>
          </cell>
          <cell r="K726">
            <v>0</v>
          </cell>
        </row>
        <row r="727">
          <cell r="A727">
            <v>0</v>
          </cell>
          <cell r="K727">
            <v>0</v>
          </cell>
        </row>
        <row r="728">
          <cell r="A728">
            <v>0</v>
          </cell>
          <cell r="K728">
            <v>0</v>
          </cell>
        </row>
        <row r="729">
          <cell r="A729">
            <v>0</v>
          </cell>
          <cell r="K729">
            <v>0</v>
          </cell>
        </row>
        <row r="730">
          <cell r="A730">
            <v>0</v>
          </cell>
          <cell r="K730">
            <v>0</v>
          </cell>
        </row>
        <row r="731">
          <cell r="A731">
            <v>0</v>
          </cell>
          <cell r="K731">
            <v>0</v>
          </cell>
        </row>
        <row r="732">
          <cell r="A732">
            <v>0</v>
          </cell>
          <cell r="K732">
            <v>0</v>
          </cell>
        </row>
        <row r="733">
          <cell r="A733">
            <v>0</v>
          </cell>
          <cell r="K733">
            <v>0</v>
          </cell>
        </row>
        <row r="734">
          <cell r="A734">
            <v>0</v>
          </cell>
          <cell r="K734">
            <v>0</v>
          </cell>
        </row>
        <row r="735">
          <cell r="A735">
            <v>0</v>
          </cell>
          <cell r="K735">
            <v>0</v>
          </cell>
        </row>
        <row r="736">
          <cell r="A736">
            <v>0</v>
          </cell>
          <cell r="K736">
            <v>0</v>
          </cell>
        </row>
        <row r="737">
          <cell r="A737">
            <v>0</v>
          </cell>
          <cell r="K737">
            <v>0</v>
          </cell>
        </row>
        <row r="738">
          <cell r="A738">
            <v>0</v>
          </cell>
          <cell r="K738">
            <v>0</v>
          </cell>
        </row>
        <row r="739">
          <cell r="A739">
            <v>0</v>
          </cell>
          <cell r="K739">
            <v>0</v>
          </cell>
        </row>
        <row r="740">
          <cell r="A740">
            <v>0</v>
          </cell>
          <cell r="K740">
            <v>0</v>
          </cell>
        </row>
        <row r="741">
          <cell r="A741">
            <v>0</v>
          </cell>
          <cell r="K741">
            <v>0</v>
          </cell>
        </row>
        <row r="742">
          <cell r="A742">
            <v>0</v>
          </cell>
          <cell r="K742">
            <v>0</v>
          </cell>
        </row>
        <row r="743">
          <cell r="A743">
            <v>0</v>
          </cell>
          <cell r="K743">
            <v>0</v>
          </cell>
        </row>
        <row r="744">
          <cell r="A744">
            <v>0</v>
          </cell>
          <cell r="K744">
            <v>0</v>
          </cell>
        </row>
        <row r="745">
          <cell r="A745">
            <v>0</v>
          </cell>
          <cell r="K745">
            <v>0</v>
          </cell>
        </row>
        <row r="746">
          <cell r="A746">
            <v>0</v>
          </cell>
          <cell r="K746">
            <v>0</v>
          </cell>
        </row>
        <row r="747">
          <cell r="A747">
            <v>0</v>
          </cell>
          <cell r="K747">
            <v>0</v>
          </cell>
        </row>
        <row r="748">
          <cell r="A748">
            <v>0</v>
          </cell>
          <cell r="K748">
            <v>0</v>
          </cell>
        </row>
        <row r="749">
          <cell r="A749">
            <v>0</v>
          </cell>
          <cell r="K749">
            <v>0</v>
          </cell>
        </row>
        <row r="750">
          <cell r="A750">
            <v>0</v>
          </cell>
          <cell r="K750">
            <v>0</v>
          </cell>
        </row>
        <row r="751">
          <cell r="A751">
            <v>0</v>
          </cell>
          <cell r="K751">
            <v>0</v>
          </cell>
        </row>
        <row r="752">
          <cell r="A752">
            <v>0</v>
          </cell>
          <cell r="K752">
            <v>0</v>
          </cell>
        </row>
        <row r="753">
          <cell r="A753">
            <v>0</v>
          </cell>
          <cell r="K753">
            <v>0</v>
          </cell>
        </row>
        <row r="754">
          <cell r="A754">
            <v>0</v>
          </cell>
          <cell r="K754">
            <v>0</v>
          </cell>
        </row>
        <row r="755">
          <cell r="A755">
            <v>0</v>
          </cell>
          <cell r="K755">
            <v>0</v>
          </cell>
        </row>
        <row r="756">
          <cell r="A756">
            <v>0</v>
          </cell>
          <cell r="K756">
            <v>0</v>
          </cell>
        </row>
        <row r="757">
          <cell r="A757">
            <v>0</v>
          </cell>
          <cell r="K757">
            <v>0</v>
          </cell>
        </row>
        <row r="758">
          <cell r="A758">
            <v>0</v>
          </cell>
          <cell r="K758">
            <v>0</v>
          </cell>
        </row>
        <row r="759">
          <cell r="A759">
            <v>0</v>
          </cell>
          <cell r="K759">
            <v>0</v>
          </cell>
        </row>
        <row r="760">
          <cell r="A760">
            <v>0</v>
          </cell>
          <cell r="K760">
            <v>0</v>
          </cell>
        </row>
        <row r="761">
          <cell r="A761">
            <v>0</v>
          </cell>
          <cell r="K761">
            <v>0</v>
          </cell>
        </row>
        <row r="762">
          <cell r="A762">
            <v>0</v>
          </cell>
          <cell r="K762">
            <v>0</v>
          </cell>
        </row>
        <row r="763">
          <cell r="A763">
            <v>0</v>
          </cell>
          <cell r="K763">
            <v>0</v>
          </cell>
        </row>
        <row r="764">
          <cell r="A764">
            <v>0</v>
          </cell>
          <cell r="K764">
            <v>0</v>
          </cell>
        </row>
        <row r="765">
          <cell r="A765">
            <v>0</v>
          </cell>
          <cell r="K765">
            <v>0</v>
          </cell>
        </row>
        <row r="766">
          <cell r="A766">
            <v>0</v>
          </cell>
          <cell r="K766">
            <v>0</v>
          </cell>
        </row>
        <row r="767">
          <cell r="A767">
            <v>0</v>
          </cell>
          <cell r="K767">
            <v>0</v>
          </cell>
        </row>
        <row r="768">
          <cell r="A768">
            <v>0</v>
          </cell>
          <cell r="K768">
            <v>0</v>
          </cell>
        </row>
        <row r="769">
          <cell r="A769">
            <v>0</v>
          </cell>
          <cell r="K769">
            <v>0</v>
          </cell>
        </row>
        <row r="770">
          <cell r="A770">
            <v>0</v>
          </cell>
          <cell r="K770">
            <v>0</v>
          </cell>
        </row>
        <row r="771">
          <cell r="A771">
            <v>0</v>
          </cell>
          <cell r="K771">
            <v>0</v>
          </cell>
        </row>
        <row r="772">
          <cell r="A772">
            <v>0</v>
          </cell>
          <cell r="K772">
            <v>0</v>
          </cell>
        </row>
        <row r="773">
          <cell r="A773">
            <v>0</v>
          </cell>
          <cell r="K773">
            <v>0</v>
          </cell>
        </row>
        <row r="774">
          <cell r="A774">
            <v>0</v>
          </cell>
          <cell r="K774">
            <v>0</v>
          </cell>
        </row>
        <row r="775">
          <cell r="A775">
            <v>0</v>
          </cell>
          <cell r="K775">
            <v>0</v>
          </cell>
        </row>
        <row r="776">
          <cell r="A776">
            <v>0</v>
          </cell>
          <cell r="K776">
            <v>0</v>
          </cell>
        </row>
        <row r="777">
          <cell r="A777">
            <v>0</v>
          </cell>
          <cell r="K777">
            <v>0</v>
          </cell>
        </row>
        <row r="778">
          <cell r="A778">
            <v>0</v>
          </cell>
          <cell r="K778">
            <v>0</v>
          </cell>
        </row>
        <row r="779">
          <cell r="A779">
            <v>0</v>
          </cell>
          <cell r="K779">
            <v>0</v>
          </cell>
        </row>
        <row r="780">
          <cell r="A780">
            <v>0</v>
          </cell>
          <cell r="K780">
            <v>0</v>
          </cell>
        </row>
        <row r="781">
          <cell r="A781">
            <v>0</v>
          </cell>
          <cell r="K781">
            <v>0</v>
          </cell>
        </row>
        <row r="782">
          <cell r="A782">
            <v>0</v>
          </cell>
          <cell r="K782">
            <v>0</v>
          </cell>
        </row>
        <row r="783">
          <cell r="A783">
            <v>0</v>
          </cell>
          <cell r="K783">
            <v>0</v>
          </cell>
        </row>
        <row r="784">
          <cell r="A784">
            <v>0</v>
          </cell>
          <cell r="K784">
            <v>0</v>
          </cell>
        </row>
        <row r="785">
          <cell r="A785">
            <v>0</v>
          </cell>
          <cell r="K785">
            <v>0</v>
          </cell>
        </row>
        <row r="786">
          <cell r="A786">
            <v>0</v>
          </cell>
          <cell r="K786">
            <v>0</v>
          </cell>
        </row>
        <row r="787">
          <cell r="A787">
            <v>0</v>
          </cell>
          <cell r="K787">
            <v>0</v>
          </cell>
        </row>
        <row r="788">
          <cell r="A788">
            <v>0</v>
          </cell>
          <cell r="K788">
            <v>0</v>
          </cell>
        </row>
        <row r="789">
          <cell r="A789">
            <v>0</v>
          </cell>
          <cell r="K789">
            <v>0</v>
          </cell>
        </row>
        <row r="790">
          <cell r="A790">
            <v>0</v>
          </cell>
          <cell r="K790">
            <v>0</v>
          </cell>
        </row>
        <row r="791">
          <cell r="A791">
            <v>0</v>
          </cell>
          <cell r="K791">
            <v>0</v>
          </cell>
        </row>
        <row r="792">
          <cell r="A792">
            <v>0</v>
          </cell>
          <cell r="K792">
            <v>0</v>
          </cell>
        </row>
        <row r="793">
          <cell r="A793">
            <v>0</v>
          </cell>
          <cell r="K793">
            <v>0</v>
          </cell>
        </row>
        <row r="794">
          <cell r="A794">
            <v>0</v>
          </cell>
          <cell r="K794">
            <v>0</v>
          </cell>
        </row>
        <row r="795">
          <cell r="A795">
            <v>0</v>
          </cell>
          <cell r="K795">
            <v>0</v>
          </cell>
        </row>
        <row r="796">
          <cell r="A796">
            <v>0</v>
          </cell>
          <cell r="K796">
            <v>0</v>
          </cell>
        </row>
        <row r="797">
          <cell r="A797">
            <v>0</v>
          </cell>
          <cell r="K797">
            <v>0</v>
          </cell>
        </row>
        <row r="798">
          <cell r="A798">
            <v>0</v>
          </cell>
          <cell r="K798">
            <v>0</v>
          </cell>
        </row>
        <row r="799">
          <cell r="A799">
            <v>0</v>
          </cell>
          <cell r="K799">
            <v>0</v>
          </cell>
        </row>
        <row r="800">
          <cell r="A800">
            <v>0</v>
          </cell>
          <cell r="K800">
            <v>0</v>
          </cell>
        </row>
        <row r="801">
          <cell r="A801">
            <v>0</v>
          </cell>
          <cell r="K801">
            <v>0</v>
          </cell>
        </row>
        <row r="802">
          <cell r="A802">
            <v>0</v>
          </cell>
          <cell r="K802">
            <v>0</v>
          </cell>
        </row>
        <row r="803">
          <cell r="A803">
            <v>0</v>
          </cell>
          <cell r="K803">
            <v>0</v>
          </cell>
        </row>
        <row r="804">
          <cell r="A804">
            <v>0</v>
          </cell>
          <cell r="K804">
            <v>0</v>
          </cell>
        </row>
        <row r="805">
          <cell r="A805">
            <v>0</v>
          </cell>
          <cell r="K805">
            <v>0</v>
          </cell>
        </row>
        <row r="806">
          <cell r="A806">
            <v>0</v>
          </cell>
          <cell r="K806">
            <v>0</v>
          </cell>
        </row>
        <row r="807">
          <cell r="A807">
            <v>0</v>
          </cell>
          <cell r="K807">
            <v>0</v>
          </cell>
        </row>
        <row r="808">
          <cell r="A808">
            <v>0</v>
          </cell>
          <cell r="K808">
            <v>0</v>
          </cell>
        </row>
        <row r="809">
          <cell r="A809">
            <v>0</v>
          </cell>
          <cell r="K809">
            <v>0</v>
          </cell>
        </row>
        <row r="810">
          <cell r="A810">
            <v>0</v>
          </cell>
          <cell r="K810">
            <v>0</v>
          </cell>
        </row>
        <row r="811">
          <cell r="A811">
            <v>0</v>
          </cell>
          <cell r="K811">
            <v>0</v>
          </cell>
        </row>
        <row r="812">
          <cell r="A812">
            <v>0</v>
          </cell>
          <cell r="K812">
            <v>0</v>
          </cell>
        </row>
        <row r="813">
          <cell r="A813">
            <v>0</v>
          </cell>
          <cell r="K813">
            <v>0</v>
          </cell>
        </row>
        <row r="814">
          <cell r="A814">
            <v>0</v>
          </cell>
          <cell r="K814">
            <v>0</v>
          </cell>
        </row>
        <row r="815">
          <cell r="A815">
            <v>0</v>
          </cell>
          <cell r="K815">
            <v>0</v>
          </cell>
        </row>
        <row r="816">
          <cell r="A816">
            <v>0</v>
          </cell>
          <cell r="K816">
            <v>0</v>
          </cell>
        </row>
        <row r="817">
          <cell r="A817">
            <v>0</v>
          </cell>
          <cell r="K817">
            <v>0</v>
          </cell>
        </row>
        <row r="818">
          <cell r="A818">
            <v>0</v>
          </cell>
          <cell r="K818">
            <v>0</v>
          </cell>
        </row>
        <row r="819">
          <cell r="A819">
            <v>0</v>
          </cell>
          <cell r="K819">
            <v>0</v>
          </cell>
        </row>
        <row r="820">
          <cell r="A820">
            <v>0</v>
          </cell>
          <cell r="K820">
            <v>0</v>
          </cell>
        </row>
        <row r="821">
          <cell r="A821">
            <v>0</v>
          </cell>
          <cell r="K821">
            <v>0</v>
          </cell>
        </row>
        <row r="822">
          <cell r="A822">
            <v>0</v>
          </cell>
          <cell r="K822">
            <v>0</v>
          </cell>
        </row>
        <row r="823">
          <cell r="A823">
            <v>0</v>
          </cell>
          <cell r="K823">
            <v>0</v>
          </cell>
        </row>
        <row r="824">
          <cell r="A824">
            <v>0</v>
          </cell>
          <cell r="K824">
            <v>0</v>
          </cell>
        </row>
        <row r="825">
          <cell r="A825">
            <v>0</v>
          </cell>
          <cell r="K825">
            <v>0</v>
          </cell>
        </row>
        <row r="826">
          <cell r="A826">
            <v>0</v>
          </cell>
          <cell r="K826">
            <v>0</v>
          </cell>
        </row>
        <row r="827">
          <cell r="A827">
            <v>0</v>
          </cell>
          <cell r="K827">
            <v>0</v>
          </cell>
        </row>
        <row r="828">
          <cell r="A828">
            <v>0</v>
          </cell>
          <cell r="K828">
            <v>0</v>
          </cell>
        </row>
        <row r="829">
          <cell r="A829">
            <v>0</v>
          </cell>
          <cell r="K829">
            <v>0</v>
          </cell>
        </row>
        <row r="830">
          <cell r="A830">
            <v>0</v>
          </cell>
          <cell r="K830">
            <v>0</v>
          </cell>
        </row>
        <row r="831">
          <cell r="A831">
            <v>0</v>
          </cell>
          <cell r="K831">
            <v>0</v>
          </cell>
        </row>
        <row r="832">
          <cell r="A832">
            <v>0</v>
          </cell>
          <cell r="K832">
            <v>0</v>
          </cell>
        </row>
        <row r="833">
          <cell r="A833">
            <v>0</v>
          </cell>
          <cell r="K833">
            <v>0</v>
          </cell>
        </row>
        <row r="834">
          <cell r="A834">
            <v>0</v>
          </cell>
          <cell r="K834">
            <v>0</v>
          </cell>
        </row>
        <row r="835">
          <cell r="A835">
            <v>0</v>
          </cell>
          <cell r="K835">
            <v>0</v>
          </cell>
        </row>
        <row r="836">
          <cell r="A836">
            <v>0</v>
          </cell>
          <cell r="K836">
            <v>0</v>
          </cell>
        </row>
        <row r="837">
          <cell r="A837">
            <v>0</v>
          </cell>
          <cell r="K837">
            <v>0</v>
          </cell>
        </row>
        <row r="838">
          <cell r="A838">
            <v>0</v>
          </cell>
          <cell r="K838">
            <v>0</v>
          </cell>
        </row>
        <row r="839">
          <cell r="A839">
            <v>0</v>
          </cell>
          <cell r="K839">
            <v>0</v>
          </cell>
        </row>
        <row r="840">
          <cell r="A840">
            <v>0</v>
          </cell>
          <cell r="K840">
            <v>0</v>
          </cell>
        </row>
        <row r="841">
          <cell r="A841">
            <v>0</v>
          </cell>
          <cell r="K841">
            <v>0</v>
          </cell>
        </row>
        <row r="842">
          <cell r="A842">
            <v>0</v>
          </cell>
          <cell r="K842">
            <v>0</v>
          </cell>
        </row>
        <row r="843">
          <cell r="A843">
            <v>0</v>
          </cell>
          <cell r="K843">
            <v>0</v>
          </cell>
        </row>
        <row r="844">
          <cell r="A844">
            <v>0</v>
          </cell>
          <cell r="K844">
            <v>0</v>
          </cell>
        </row>
        <row r="845">
          <cell r="A845">
            <v>0</v>
          </cell>
          <cell r="K845">
            <v>0</v>
          </cell>
        </row>
        <row r="846">
          <cell r="A846">
            <v>0</v>
          </cell>
          <cell r="K846">
            <v>0</v>
          </cell>
        </row>
        <row r="847">
          <cell r="A847">
            <v>0</v>
          </cell>
          <cell r="K847">
            <v>0</v>
          </cell>
        </row>
        <row r="848">
          <cell r="A848">
            <v>0</v>
          </cell>
          <cell r="K848">
            <v>0</v>
          </cell>
        </row>
        <row r="849">
          <cell r="A849">
            <v>0</v>
          </cell>
          <cell r="K849">
            <v>0</v>
          </cell>
        </row>
        <row r="850">
          <cell r="A850">
            <v>0</v>
          </cell>
          <cell r="K850">
            <v>0</v>
          </cell>
        </row>
        <row r="851">
          <cell r="A851">
            <v>0</v>
          </cell>
          <cell r="K851">
            <v>0</v>
          </cell>
        </row>
        <row r="852">
          <cell r="A852">
            <v>0</v>
          </cell>
          <cell r="K852">
            <v>0</v>
          </cell>
        </row>
        <row r="853">
          <cell r="A853">
            <v>0</v>
          </cell>
          <cell r="K853">
            <v>0</v>
          </cell>
        </row>
        <row r="854">
          <cell r="A854">
            <v>0</v>
          </cell>
          <cell r="K854">
            <v>0</v>
          </cell>
        </row>
        <row r="855">
          <cell r="A855">
            <v>0</v>
          </cell>
          <cell r="K855">
            <v>0</v>
          </cell>
        </row>
        <row r="856">
          <cell r="A856">
            <v>0</v>
          </cell>
          <cell r="K856">
            <v>0</v>
          </cell>
        </row>
        <row r="857">
          <cell r="A857">
            <v>0</v>
          </cell>
          <cell r="K857">
            <v>0</v>
          </cell>
        </row>
        <row r="858">
          <cell r="A858">
            <v>0</v>
          </cell>
          <cell r="K858">
            <v>0</v>
          </cell>
        </row>
        <row r="859">
          <cell r="A859">
            <v>0</v>
          </cell>
          <cell r="K859">
            <v>0</v>
          </cell>
        </row>
        <row r="860">
          <cell r="A860">
            <v>0</v>
          </cell>
          <cell r="K860">
            <v>0</v>
          </cell>
        </row>
        <row r="861">
          <cell r="A861">
            <v>0</v>
          </cell>
          <cell r="K861">
            <v>0</v>
          </cell>
        </row>
        <row r="862">
          <cell r="A862">
            <v>0</v>
          </cell>
          <cell r="K862">
            <v>0</v>
          </cell>
        </row>
        <row r="863">
          <cell r="A863">
            <v>0</v>
          </cell>
          <cell r="K863">
            <v>0</v>
          </cell>
        </row>
        <row r="864">
          <cell r="A864">
            <v>0</v>
          </cell>
          <cell r="K864">
            <v>0</v>
          </cell>
        </row>
        <row r="865">
          <cell r="A865">
            <v>0</v>
          </cell>
          <cell r="K865">
            <v>0</v>
          </cell>
        </row>
        <row r="866">
          <cell r="A866">
            <v>0</v>
          </cell>
          <cell r="K866">
            <v>0</v>
          </cell>
        </row>
        <row r="867">
          <cell r="A867">
            <v>0</v>
          </cell>
          <cell r="K867">
            <v>0</v>
          </cell>
        </row>
        <row r="868">
          <cell r="A868">
            <v>0</v>
          </cell>
          <cell r="K868">
            <v>0</v>
          </cell>
        </row>
        <row r="869">
          <cell r="A869">
            <v>0</v>
          </cell>
          <cell r="K869">
            <v>0</v>
          </cell>
        </row>
        <row r="870">
          <cell r="A870">
            <v>0</v>
          </cell>
          <cell r="K870">
            <v>0</v>
          </cell>
        </row>
        <row r="871">
          <cell r="A871">
            <v>0</v>
          </cell>
          <cell r="K871">
            <v>0</v>
          </cell>
        </row>
        <row r="872">
          <cell r="A872">
            <v>0</v>
          </cell>
          <cell r="K872">
            <v>0</v>
          </cell>
        </row>
        <row r="873">
          <cell r="A873">
            <v>0</v>
          </cell>
          <cell r="K873">
            <v>0</v>
          </cell>
        </row>
        <row r="874">
          <cell r="A874">
            <v>0</v>
          </cell>
          <cell r="K874">
            <v>0</v>
          </cell>
        </row>
        <row r="875">
          <cell r="A875">
            <v>0</v>
          </cell>
          <cell r="K875">
            <v>0</v>
          </cell>
        </row>
        <row r="876">
          <cell r="A876">
            <v>0</v>
          </cell>
          <cell r="K876">
            <v>0</v>
          </cell>
        </row>
        <row r="877">
          <cell r="A877">
            <v>0</v>
          </cell>
          <cell r="K877">
            <v>0</v>
          </cell>
        </row>
        <row r="878">
          <cell r="A878">
            <v>0</v>
          </cell>
          <cell r="K878">
            <v>0</v>
          </cell>
        </row>
        <row r="879">
          <cell r="A879">
            <v>0</v>
          </cell>
          <cell r="K879">
            <v>0</v>
          </cell>
        </row>
        <row r="880">
          <cell r="A880">
            <v>0</v>
          </cell>
          <cell r="K880">
            <v>0</v>
          </cell>
        </row>
        <row r="881">
          <cell r="A881">
            <v>0</v>
          </cell>
          <cell r="K881">
            <v>0</v>
          </cell>
        </row>
        <row r="882">
          <cell r="A882">
            <v>0</v>
          </cell>
          <cell r="K882">
            <v>0</v>
          </cell>
        </row>
        <row r="883">
          <cell r="A883">
            <v>0</v>
          </cell>
          <cell r="K883">
            <v>0</v>
          </cell>
        </row>
        <row r="884">
          <cell r="A884">
            <v>0</v>
          </cell>
          <cell r="K884">
            <v>0</v>
          </cell>
        </row>
        <row r="885">
          <cell r="A885">
            <v>0</v>
          </cell>
          <cell r="K885">
            <v>0</v>
          </cell>
        </row>
        <row r="886">
          <cell r="A886">
            <v>0</v>
          </cell>
          <cell r="K886">
            <v>0</v>
          </cell>
        </row>
        <row r="887">
          <cell r="A887">
            <v>0</v>
          </cell>
          <cell r="K887">
            <v>0</v>
          </cell>
        </row>
        <row r="888">
          <cell r="A888">
            <v>0</v>
          </cell>
          <cell r="K888">
            <v>0</v>
          </cell>
        </row>
        <row r="889">
          <cell r="A889">
            <v>0</v>
          </cell>
          <cell r="K889">
            <v>0</v>
          </cell>
        </row>
        <row r="890">
          <cell r="A890">
            <v>0</v>
          </cell>
          <cell r="K890">
            <v>0</v>
          </cell>
        </row>
        <row r="891">
          <cell r="A891">
            <v>0</v>
          </cell>
          <cell r="K891">
            <v>0</v>
          </cell>
        </row>
        <row r="892">
          <cell r="A892">
            <v>0</v>
          </cell>
          <cell r="K892">
            <v>0</v>
          </cell>
        </row>
        <row r="893">
          <cell r="A893">
            <v>0</v>
          </cell>
          <cell r="K893">
            <v>0</v>
          </cell>
        </row>
        <row r="894">
          <cell r="A894">
            <v>0</v>
          </cell>
          <cell r="K894">
            <v>0</v>
          </cell>
        </row>
        <row r="895">
          <cell r="A895">
            <v>0</v>
          </cell>
          <cell r="K895">
            <v>0</v>
          </cell>
        </row>
        <row r="896">
          <cell r="A896">
            <v>0</v>
          </cell>
          <cell r="K896">
            <v>0</v>
          </cell>
        </row>
        <row r="897">
          <cell r="A897">
            <v>0</v>
          </cell>
          <cell r="K897">
            <v>0</v>
          </cell>
        </row>
        <row r="898">
          <cell r="A898">
            <v>0</v>
          </cell>
          <cell r="K898">
            <v>0</v>
          </cell>
        </row>
        <row r="899">
          <cell r="A899">
            <v>0</v>
          </cell>
          <cell r="K899">
            <v>0</v>
          </cell>
        </row>
        <row r="900">
          <cell r="A900">
            <v>0</v>
          </cell>
          <cell r="K900">
            <v>0</v>
          </cell>
        </row>
        <row r="901">
          <cell r="A901">
            <v>0</v>
          </cell>
          <cell r="K901">
            <v>0</v>
          </cell>
        </row>
        <row r="902">
          <cell r="A902">
            <v>0</v>
          </cell>
          <cell r="K902">
            <v>0</v>
          </cell>
        </row>
        <row r="903">
          <cell r="A903">
            <v>0</v>
          </cell>
          <cell r="K903">
            <v>0</v>
          </cell>
        </row>
        <row r="904">
          <cell r="A904">
            <v>0</v>
          </cell>
          <cell r="K904">
            <v>0</v>
          </cell>
        </row>
        <row r="905">
          <cell r="A905">
            <v>0</v>
          </cell>
          <cell r="K905">
            <v>0</v>
          </cell>
        </row>
        <row r="906">
          <cell r="A906">
            <v>0</v>
          </cell>
          <cell r="K906">
            <v>0</v>
          </cell>
        </row>
        <row r="907">
          <cell r="A907">
            <v>0</v>
          </cell>
          <cell r="K907">
            <v>0</v>
          </cell>
        </row>
        <row r="908">
          <cell r="A908">
            <v>0</v>
          </cell>
          <cell r="K908">
            <v>0</v>
          </cell>
        </row>
        <row r="909">
          <cell r="A909">
            <v>0</v>
          </cell>
          <cell r="K909">
            <v>0</v>
          </cell>
        </row>
        <row r="910">
          <cell r="A910">
            <v>0</v>
          </cell>
          <cell r="K910">
            <v>0</v>
          </cell>
        </row>
        <row r="911">
          <cell r="A911">
            <v>0</v>
          </cell>
          <cell r="K911">
            <v>0</v>
          </cell>
        </row>
        <row r="912">
          <cell r="A912">
            <v>0</v>
          </cell>
          <cell r="K912">
            <v>0</v>
          </cell>
        </row>
        <row r="913">
          <cell r="A913">
            <v>0</v>
          </cell>
          <cell r="K913">
            <v>0</v>
          </cell>
        </row>
        <row r="914">
          <cell r="A914">
            <v>0</v>
          </cell>
          <cell r="K914">
            <v>0</v>
          </cell>
        </row>
        <row r="915">
          <cell r="A915">
            <v>0</v>
          </cell>
          <cell r="K915">
            <v>0</v>
          </cell>
        </row>
        <row r="916">
          <cell r="A916">
            <v>0</v>
          </cell>
          <cell r="K916">
            <v>0</v>
          </cell>
        </row>
        <row r="917">
          <cell r="A917">
            <v>0</v>
          </cell>
          <cell r="K917">
            <v>0</v>
          </cell>
        </row>
        <row r="918">
          <cell r="A918">
            <v>0</v>
          </cell>
          <cell r="K918">
            <v>0</v>
          </cell>
        </row>
        <row r="919">
          <cell r="A919">
            <v>0</v>
          </cell>
          <cell r="K919">
            <v>0</v>
          </cell>
        </row>
        <row r="920">
          <cell r="A920">
            <v>0</v>
          </cell>
          <cell r="K920">
            <v>0</v>
          </cell>
        </row>
        <row r="921">
          <cell r="A921">
            <v>0</v>
          </cell>
          <cell r="K921">
            <v>0</v>
          </cell>
        </row>
        <row r="922">
          <cell r="A922">
            <v>0</v>
          </cell>
          <cell r="K922">
            <v>0</v>
          </cell>
        </row>
        <row r="923">
          <cell r="A923">
            <v>0</v>
          </cell>
          <cell r="K923">
            <v>0</v>
          </cell>
        </row>
        <row r="924">
          <cell r="A924">
            <v>0</v>
          </cell>
          <cell r="K924">
            <v>0</v>
          </cell>
        </row>
        <row r="925">
          <cell r="A925">
            <v>0</v>
          </cell>
          <cell r="K925">
            <v>0</v>
          </cell>
        </row>
        <row r="926">
          <cell r="A926">
            <v>0</v>
          </cell>
          <cell r="K926">
            <v>0</v>
          </cell>
        </row>
        <row r="927">
          <cell r="A927">
            <v>0</v>
          </cell>
          <cell r="K927">
            <v>0</v>
          </cell>
        </row>
        <row r="928">
          <cell r="A928">
            <v>0</v>
          </cell>
          <cell r="K928">
            <v>0</v>
          </cell>
        </row>
        <row r="929">
          <cell r="A929">
            <v>0</v>
          </cell>
          <cell r="K929">
            <v>0</v>
          </cell>
        </row>
        <row r="930">
          <cell r="A930">
            <v>0</v>
          </cell>
          <cell r="K930">
            <v>0</v>
          </cell>
        </row>
        <row r="931">
          <cell r="A931">
            <v>0</v>
          </cell>
          <cell r="K931">
            <v>0</v>
          </cell>
        </row>
        <row r="932">
          <cell r="A932">
            <v>0</v>
          </cell>
          <cell r="K932">
            <v>0</v>
          </cell>
        </row>
        <row r="933">
          <cell r="A933">
            <v>0</v>
          </cell>
          <cell r="K933">
            <v>0</v>
          </cell>
        </row>
        <row r="934">
          <cell r="A934">
            <v>0</v>
          </cell>
          <cell r="K934">
            <v>0</v>
          </cell>
        </row>
        <row r="935">
          <cell r="A935">
            <v>0</v>
          </cell>
          <cell r="K935">
            <v>0</v>
          </cell>
        </row>
        <row r="936">
          <cell r="A936">
            <v>0</v>
          </cell>
          <cell r="K936">
            <v>0</v>
          </cell>
        </row>
        <row r="937">
          <cell r="A937">
            <v>0</v>
          </cell>
          <cell r="K937">
            <v>0</v>
          </cell>
        </row>
        <row r="938">
          <cell r="A938">
            <v>0</v>
          </cell>
          <cell r="K938">
            <v>0</v>
          </cell>
        </row>
        <row r="939">
          <cell r="A939">
            <v>0</v>
          </cell>
          <cell r="K939">
            <v>0</v>
          </cell>
        </row>
        <row r="940">
          <cell r="A940">
            <v>0</v>
          </cell>
          <cell r="K940">
            <v>0</v>
          </cell>
        </row>
        <row r="941">
          <cell r="A941">
            <v>0</v>
          </cell>
          <cell r="K941">
            <v>0</v>
          </cell>
        </row>
        <row r="942">
          <cell r="A942">
            <v>0</v>
          </cell>
          <cell r="K942">
            <v>0</v>
          </cell>
        </row>
        <row r="943">
          <cell r="A943">
            <v>0</v>
          </cell>
          <cell r="K943">
            <v>0</v>
          </cell>
        </row>
        <row r="944">
          <cell r="A944">
            <v>0</v>
          </cell>
          <cell r="K944">
            <v>0</v>
          </cell>
        </row>
        <row r="945">
          <cell r="A945">
            <v>0</v>
          </cell>
          <cell r="K945">
            <v>0</v>
          </cell>
        </row>
        <row r="946">
          <cell r="A946">
            <v>0</v>
          </cell>
          <cell r="K946">
            <v>0</v>
          </cell>
        </row>
        <row r="947">
          <cell r="A947">
            <v>0</v>
          </cell>
          <cell r="K947">
            <v>0</v>
          </cell>
        </row>
        <row r="948">
          <cell r="A948">
            <v>0</v>
          </cell>
          <cell r="K948">
            <v>0</v>
          </cell>
        </row>
        <row r="949">
          <cell r="A949">
            <v>0</v>
          </cell>
          <cell r="K949">
            <v>0</v>
          </cell>
        </row>
        <row r="950">
          <cell r="A950">
            <v>0</v>
          </cell>
          <cell r="K950">
            <v>0</v>
          </cell>
        </row>
        <row r="951">
          <cell r="A951">
            <v>0</v>
          </cell>
          <cell r="K951">
            <v>0</v>
          </cell>
        </row>
        <row r="952">
          <cell r="A952">
            <v>0</v>
          </cell>
          <cell r="K952">
            <v>0</v>
          </cell>
        </row>
        <row r="953">
          <cell r="A953">
            <v>0</v>
          </cell>
          <cell r="K953">
            <v>0</v>
          </cell>
        </row>
        <row r="954">
          <cell r="A954">
            <v>0</v>
          </cell>
          <cell r="K954">
            <v>0</v>
          </cell>
        </row>
        <row r="955">
          <cell r="A955">
            <v>0</v>
          </cell>
          <cell r="K955">
            <v>0</v>
          </cell>
        </row>
        <row r="956">
          <cell r="A956">
            <v>0</v>
          </cell>
          <cell r="K956">
            <v>0</v>
          </cell>
        </row>
        <row r="957">
          <cell r="A957">
            <v>0</v>
          </cell>
          <cell r="K957">
            <v>0</v>
          </cell>
        </row>
        <row r="958">
          <cell r="A958">
            <v>0</v>
          </cell>
          <cell r="K958">
            <v>0</v>
          </cell>
        </row>
        <row r="959">
          <cell r="A959">
            <v>0</v>
          </cell>
          <cell r="K959">
            <v>0</v>
          </cell>
        </row>
        <row r="960">
          <cell r="A960">
            <v>0</v>
          </cell>
          <cell r="K960">
            <v>0</v>
          </cell>
        </row>
        <row r="961">
          <cell r="A961">
            <v>0</v>
          </cell>
          <cell r="K961">
            <v>0</v>
          </cell>
        </row>
        <row r="962">
          <cell r="A962">
            <v>0</v>
          </cell>
          <cell r="K962">
            <v>0</v>
          </cell>
        </row>
        <row r="963">
          <cell r="A963">
            <v>0</v>
          </cell>
          <cell r="K963">
            <v>0</v>
          </cell>
        </row>
        <row r="964">
          <cell r="A964">
            <v>0</v>
          </cell>
          <cell r="K964">
            <v>0</v>
          </cell>
        </row>
        <row r="965">
          <cell r="A965">
            <v>0</v>
          </cell>
          <cell r="K965">
            <v>0</v>
          </cell>
        </row>
        <row r="966">
          <cell r="A966">
            <v>0</v>
          </cell>
          <cell r="K966">
            <v>0</v>
          </cell>
        </row>
        <row r="967">
          <cell r="A967">
            <v>0</v>
          </cell>
          <cell r="K967">
            <v>0</v>
          </cell>
        </row>
        <row r="968">
          <cell r="A968">
            <v>0</v>
          </cell>
          <cell r="K968">
            <v>0</v>
          </cell>
        </row>
        <row r="969">
          <cell r="A969">
            <v>0</v>
          </cell>
          <cell r="K969">
            <v>0</v>
          </cell>
        </row>
        <row r="970">
          <cell r="A970">
            <v>0</v>
          </cell>
          <cell r="K970">
            <v>0</v>
          </cell>
        </row>
        <row r="971">
          <cell r="A971">
            <v>0</v>
          </cell>
          <cell r="K971">
            <v>0</v>
          </cell>
        </row>
        <row r="972">
          <cell r="A972">
            <v>0</v>
          </cell>
          <cell r="K972">
            <v>0</v>
          </cell>
        </row>
        <row r="973">
          <cell r="A973">
            <v>0</v>
          </cell>
          <cell r="K973">
            <v>0</v>
          </cell>
        </row>
        <row r="974">
          <cell r="A974">
            <v>0</v>
          </cell>
          <cell r="K974">
            <v>0</v>
          </cell>
        </row>
        <row r="975">
          <cell r="A975">
            <v>0</v>
          </cell>
          <cell r="K975">
            <v>0</v>
          </cell>
        </row>
        <row r="976">
          <cell r="A976">
            <v>0</v>
          </cell>
          <cell r="K976">
            <v>0</v>
          </cell>
        </row>
        <row r="977">
          <cell r="A977">
            <v>0</v>
          </cell>
          <cell r="K977">
            <v>0</v>
          </cell>
        </row>
        <row r="978">
          <cell r="A978">
            <v>0</v>
          </cell>
          <cell r="K978">
            <v>0</v>
          </cell>
        </row>
        <row r="979">
          <cell r="A979">
            <v>0</v>
          </cell>
          <cell r="K979">
            <v>0</v>
          </cell>
        </row>
        <row r="980">
          <cell r="A980">
            <v>0</v>
          </cell>
          <cell r="K980">
            <v>0</v>
          </cell>
        </row>
        <row r="981">
          <cell r="A981">
            <v>0</v>
          </cell>
          <cell r="K981">
            <v>0</v>
          </cell>
        </row>
        <row r="982">
          <cell r="A982">
            <v>0</v>
          </cell>
          <cell r="K982">
            <v>0</v>
          </cell>
        </row>
        <row r="983">
          <cell r="A983">
            <v>0</v>
          </cell>
          <cell r="K983">
            <v>0</v>
          </cell>
        </row>
        <row r="984">
          <cell r="A984">
            <v>0</v>
          </cell>
          <cell r="K984">
            <v>0</v>
          </cell>
        </row>
        <row r="985">
          <cell r="A985">
            <v>0</v>
          </cell>
          <cell r="K985">
            <v>0</v>
          </cell>
        </row>
        <row r="986">
          <cell r="A986">
            <v>0</v>
          </cell>
          <cell r="K986">
            <v>0</v>
          </cell>
        </row>
        <row r="987">
          <cell r="A987">
            <v>0</v>
          </cell>
          <cell r="K987">
            <v>0</v>
          </cell>
        </row>
        <row r="988">
          <cell r="A988">
            <v>0</v>
          </cell>
          <cell r="K988">
            <v>0</v>
          </cell>
        </row>
        <row r="989">
          <cell r="A989">
            <v>0</v>
          </cell>
          <cell r="K989">
            <v>0</v>
          </cell>
        </row>
        <row r="990">
          <cell r="A990">
            <v>0</v>
          </cell>
          <cell r="K990">
            <v>0</v>
          </cell>
        </row>
        <row r="991">
          <cell r="A991">
            <v>0</v>
          </cell>
          <cell r="K991">
            <v>0</v>
          </cell>
        </row>
        <row r="992">
          <cell r="A992">
            <v>0</v>
          </cell>
          <cell r="K992">
            <v>0</v>
          </cell>
        </row>
        <row r="993">
          <cell r="A993">
            <v>0</v>
          </cell>
          <cell r="K993">
            <v>0</v>
          </cell>
        </row>
        <row r="994">
          <cell r="A994">
            <v>0</v>
          </cell>
          <cell r="K994">
            <v>0</v>
          </cell>
        </row>
        <row r="995">
          <cell r="A995">
            <v>0</v>
          </cell>
          <cell r="K995">
            <v>0</v>
          </cell>
        </row>
        <row r="996">
          <cell r="A996">
            <v>0</v>
          </cell>
          <cell r="K996">
            <v>0</v>
          </cell>
        </row>
        <row r="997">
          <cell r="A997">
            <v>0</v>
          </cell>
          <cell r="K997">
            <v>0</v>
          </cell>
        </row>
        <row r="998">
          <cell r="A998">
            <v>0</v>
          </cell>
          <cell r="K998">
            <v>0</v>
          </cell>
        </row>
        <row r="999">
          <cell r="A999">
            <v>0</v>
          </cell>
          <cell r="K999">
            <v>0</v>
          </cell>
        </row>
        <row r="1000">
          <cell r="A1000">
            <v>0</v>
          </cell>
          <cell r="K1000">
            <v>0</v>
          </cell>
        </row>
        <row r="1001">
          <cell r="A1001">
            <v>0</v>
          </cell>
          <cell r="K1001">
            <v>0</v>
          </cell>
        </row>
        <row r="1002">
          <cell r="A1002">
            <v>0</v>
          </cell>
          <cell r="K1002">
            <v>0</v>
          </cell>
        </row>
        <row r="1003">
          <cell r="A1003">
            <v>0</v>
          </cell>
          <cell r="K1003">
            <v>0</v>
          </cell>
        </row>
        <row r="1004">
          <cell r="A1004">
            <v>0</v>
          </cell>
          <cell r="K1004">
            <v>0</v>
          </cell>
        </row>
        <row r="1005">
          <cell r="A1005">
            <v>0</v>
          </cell>
          <cell r="K1005">
            <v>0</v>
          </cell>
        </row>
        <row r="1006">
          <cell r="A1006">
            <v>0</v>
          </cell>
          <cell r="K1006">
            <v>0</v>
          </cell>
        </row>
        <row r="1007">
          <cell r="A1007">
            <v>0</v>
          </cell>
          <cell r="K1007">
            <v>0</v>
          </cell>
        </row>
        <row r="1008">
          <cell r="A1008">
            <v>0</v>
          </cell>
          <cell r="K1008">
            <v>0</v>
          </cell>
        </row>
        <row r="1009">
          <cell r="A1009">
            <v>0</v>
          </cell>
          <cell r="K1009">
            <v>0</v>
          </cell>
        </row>
        <row r="1010">
          <cell r="A1010">
            <v>0</v>
          </cell>
          <cell r="K1010">
            <v>0</v>
          </cell>
        </row>
        <row r="1011">
          <cell r="A1011">
            <v>0</v>
          </cell>
          <cell r="K1011">
            <v>0</v>
          </cell>
        </row>
        <row r="1012">
          <cell r="A1012">
            <v>0</v>
          </cell>
          <cell r="K1012">
            <v>0</v>
          </cell>
        </row>
        <row r="1013">
          <cell r="A1013">
            <v>0</v>
          </cell>
          <cell r="K1013">
            <v>0</v>
          </cell>
        </row>
        <row r="1014">
          <cell r="A1014">
            <v>0</v>
          </cell>
          <cell r="K1014">
            <v>0</v>
          </cell>
        </row>
        <row r="1015">
          <cell r="A1015">
            <v>0</v>
          </cell>
          <cell r="K1015">
            <v>0</v>
          </cell>
        </row>
        <row r="1016">
          <cell r="A1016">
            <v>0</v>
          </cell>
          <cell r="K1016">
            <v>0</v>
          </cell>
        </row>
        <row r="1017">
          <cell r="A1017">
            <v>0</v>
          </cell>
          <cell r="K1017">
            <v>0</v>
          </cell>
        </row>
        <row r="1018">
          <cell r="A1018">
            <v>0</v>
          </cell>
          <cell r="K1018">
            <v>0</v>
          </cell>
        </row>
        <row r="1019">
          <cell r="A1019">
            <v>0</v>
          </cell>
          <cell r="K1019">
            <v>0</v>
          </cell>
        </row>
        <row r="1020">
          <cell r="A1020">
            <v>0</v>
          </cell>
          <cell r="K1020">
            <v>0</v>
          </cell>
        </row>
        <row r="1021">
          <cell r="A1021">
            <v>0</v>
          </cell>
          <cell r="K1021">
            <v>0</v>
          </cell>
        </row>
        <row r="1022">
          <cell r="A1022">
            <v>0</v>
          </cell>
          <cell r="K1022">
            <v>0</v>
          </cell>
        </row>
        <row r="1023">
          <cell r="A1023">
            <v>0</v>
          </cell>
          <cell r="K1023">
            <v>0</v>
          </cell>
        </row>
        <row r="1024">
          <cell r="A1024">
            <v>0</v>
          </cell>
          <cell r="K1024">
            <v>0</v>
          </cell>
        </row>
        <row r="1025">
          <cell r="A1025">
            <v>0</v>
          </cell>
          <cell r="K1025">
            <v>0</v>
          </cell>
        </row>
        <row r="1026">
          <cell r="A1026">
            <v>0</v>
          </cell>
          <cell r="K1026">
            <v>0</v>
          </cell>
        </row>
        <row r="1027">
          <cell r="A1027">
            <v>0</v>
          </cell>
          <cell r="K1027">
            <v>0</v>
          </cell>
        </row>
        <row r="1028">
          <cell r="A1028">
            <v>0</v>
          </cell>
          <cell r="K1028">
            <v>0</v>
          </cell>
        </row>
        <row r="1029">
          <cell r="A1029">
            <v>0</v>
          </cell>
          <cell r="K1029">
            <v>0</v>
          </cell>
        </row>
        <row r="1030">
          <cell r="A1030">
            <v>0</v>
          </cell>
          <cell r="K1030">
            <v>0</v>
          </cell>
        </row>
        <row r="1031">
          <cell r="A1031">
            <v>0</v>
          </cell>
          <cell r="K1031">
            <v>0</v>
          </cell>
        </row>
        <row r="1032">
          <cell r="A1032">
            <v>0</v>
          </cell>
          <cell r="K1032">
            <v>0</v>
          </cell>
        </row>
        <row r="1033">
          <cell r="A1033">
            <v>0</v>
          </cell>
          <cell r="K1033">
            <v>0</v>
          </cell>
        </row>
        <row r="1034">
          <cell r="A1034">
            <v>0</v>
          </cell>
          <cell r="K1034">
            <v>0</v>
          </cell>
        </row>
        <row r="1035">
          <cell r="A1035">
            <v>0</v>
          </cell>
          <cell r="K1035">
            <v>0</v>
          </cell>
        </row>
        <row r="1036">
          <cell r="A1036">
            <v>0</v>
          </cell>
          <cell r="K1036">
            <v>0</v>
          </cell>
        </row>
        <row r="1037">
          <cell r="A1037">
            <v>0</v>
          </cell>
          <cell r="K1037">
            <v>0</v>
          </cell>
        </row>
        <row r="1038">
          <cell r="A1038">
            <v>0</v>
          </cell>
          <cell r="K1038">
            <v>0</v>
          </cell>
        </row>
        <row r="1039">
          <cell r="A1039">
            <v>0</v>
          </cell>
          <cell r="K1039">
            <v>0</v>
          </cell>
        </row>
        <row r="1040">
          <cell r="A1040">
            <v>0</v>
          </cell>
          <cell r="K1040">
            <v>0</v>
          </cell>
        </row>
        <row r="1041">
          <cell r="A1041">
            <v>0</v>
          </cell>
          <cell r="K1041">
            <v>0</v>
          </cell>
        </row>
        <row r="1042">
          <cell r="A1042">
            <v>0</v>
          </cell>
          <cell r="K1042">
            <v>0</v>
          </cell>
        </row>
        <row r="1043">
          <cell r="A1043">
            <v>0</v>
          </cell>
          <cell r="K1043">
            <v>0</v>
          </cell>
        </row>
        <row r="1044">
          <cell r="A1044">
            <v>0</v>
          </cell>
          <cell r="K1044">
            <v>0</v>
          </cell>
        </row>
        <row r="1045">
          <cell r="A1045">
            <v>0</v>
          </cell>
          <cell r="K1045">
            <v>0</v>
          </cell>
        </row>
        <row r="1046">
          <cell r="A1046">
            <v>0</v>
          </cell>
          <cell r="K1046">
            <v>0</v>
          </cell>
        </row>
        <row r="1047">
          <cell r="A1047">
            <v>0</v>
          </cell>
          <cell r="K1047">
            <v>0</v>
          </cell>
        </row>
        <row r="1048">
          <cell r="A1048">
            <v>0</v>
          </cell>
          <cell r="K1048">
            <v>0</v>
          </cell>
        </row>
        <row r="1049">
          <cell r="A1049">
            <v>0</v>
          </cell>
          <cell r="K1049">
            <v>0</v>
          </cell>
        </row>
        <row r="1050">
          <cell r="A1050">
            <v>0</v>
          </cell>
          <cell r="K1050">
            <v>0</v>
          </cell>
        </row>
        <row r="1051">
          <cell r="A1051">
            <v>0</v>
          </cell>
          <cell r="K1051">
            <v>0</v>
          </cell>
        </row>
        <row r="1052">
          <cell r="A1052">
            <v>0</v>
          </cell>
          <cell r="K1052">
            <v>0</v>
          </cell>
        </row>
        <row r="1053">
          <cell r="A1053">
            <v>0</v>
          </cell>
          <cell r="K1053">
            <v>0</v>
          </cell>
        </row>
        <row r="1054">
          <cell r="A1054">
            <v>0</v>
          </cell>
          <cell r="K1054">
            <v>0</v>
          </cell>
        </row>
        <row r="1055">
          <cell r="A1055">
            <v>0</v>
          </cell>
          <cell r="K1055">
            <v>0</v>
          </cell>
        </row>
        <row r="1056">
          <cell r="A1056">
            <v>0</v>
          </cell>
          <cell r="K1056">
            <v>0</v>
          </cell>
        </row>
        <row r="1057">
          <cell r="A1057">
            <v>0</v>
          </cell>
          <cell r="K1057">
            <v>0</v>
          </cell>
        </row>
        <row r="1058">
          <cell r="A1058">
            <v>0</v>
          </cell>
          <cell r="K1058">
            <v>0</v>
          </cell>
        </row>
        <row r="1059">
          <cell r="A1059">
            <v>0</v>
          </cell>
          <cell r="K1059">
            <v>0</v>
          </cell>
        </row>
        <row r="1060">
          <cell r="A1060">
            <v>0</v>
          </cell>
          <cell r="K1060">
            <v>0</v>
          </cell>
        </row>
        <row r="1061">
          <cell r="A1061">
            <v>0</v>
          </cell>
          <cell r="K1061">
            <v>0</v>
          </cell>
        </row>
        <row r="1062">
          <cell r="A1062">
            <v>0</v>
          </cell>
          <cell r="K1062">
            <v>0</v>
          </cell>
        </row>
        <row r="1063">
          <cell r="A1063">
            <v>0</v>
          </cell>
          <cell r="K1063">
            <v>0</v>
          </cell>
        </row>
        <row r="1064">
          <cell r="A1064">
            <v>0</v>
          </cell>
          <cell r="K1064">
            <v>0</v>
          </cell>
        </row>
        <row r="1065">
          <cell r="A1065">
            <v>0</v>
          </cell>
          <cell r="K1065">
            <v>0</v>
          </cell>
        </row>
        <row r="1066">
          <cell r="A1066">
            <v>0</v>
          </cell>
          <cell r="K1066">
            <v>0</v>
          </cell>
        </row>
        <row r="1067">
          <cell r="A1067">
            <v>0</v>
          </cell>
          <cell r="K1067">
            <v>0</v>
          </cell>
        </row>
        <row r="1068">
          <cell r="A1068">
            <v>0</v>
          </cell>
          <cell r="K1068">
            <v>0</v>
          </cell>
        </row>
        <row r="1069">
          <cell r="A1069">
            <v>0</v>
          </cell>
          <cell r="K1069">
            <v>0</v>
          </cell>
        </row>
        <row r="1070">
          <cell r="A1070">
            <v>0</v>
          </cell>
          <cell r="K1070">
            <v>0</v>
          </cell>
        </row>
        <row r="1071">
          <cell r="A1071">
            <v>0</v>
          </cell>
          <cell r="K1071">
            <v>0</v>
          </cell>
        </row>
        <row r="1072">
          <cell r="A1072">
            <v>0</v>
          </cell>
          <cell r="K1072">
            <v>0</v>
          </cell>
        </row>
        <row r="1073">
          <cell r="A1073">
            <v>0</v>
          </cell>
          <cell r="K1073">
            <v>0</v>
          </cell>
        </row>
        <row r="1074">
          <cell r="A1074">
            <v>0</v>
          </cell>
          <cell r="K1074">
            <v>0</v>
          </cell>
        </row>
        <row r="1075">
          <cell r="A1075">
            <v>0</v>
          </cell>
          <cell r="K1075">
            <v>0</v>
          </cell>
        </row>
        <row r="1076">
          <cell r="A1076">
            <v>0</v>
          </cell>
          <cell r="K1076">
            <v>0</v>
          </cell>
        </row>
        <row r="1077">
          <cell r="A1077">
            <v>0</v>
          </cell>
          <cell r="K1077">
            <v>0</v>
          </cell>
        </row>
        <row r="1078">
          <cell r="A1078">
            <v>0</v>
          </cell>
          <cell r="K1078">
            <v>0</v>
          </cell>
        </row>
        <row r="1079">
          <cell r="A1079">
            <v>0</v>
          </cell>
          <cell r="K1079">
            <v>0</v>
          </cell>
        </row>
        <row r="1080">
          <cell r="A1080">
            <v>0</v>
          </cell>
          <cell r="K1080">
            <v>0</v>
          </cell>
        </row>
        <row r="1081">
          <cell r="A1081">
            <v>0</v>
          </cell>
          <cell r="K1081">
            <v>0</v>
          </cell>
        </row>
        <row r="1082">
          <cell r="A1082">
            <v>0</v>
          </cell>
          <cell r="K1082">
            <v>0</v>
          </cell>
        </row>
        <row r="1083">
          <cell r="A1083">
            <v>0</v>
          </cell>
          <cell r="K1083">
            <v>0</v>
          </cell>
        </row>
        <row r="1084">
          <cell r="A1084">
            <v>0</v>
          </cell>
          <cell r="K1084">
            <v>0</v>
          </cell>
        </row>
        <row r="1085">
          <cell r="A1085">
            <v>0</v>
          </cell>
          <cell r="K1085">
            <v>0</v>
          </cell>
        </row>
        <row r="1086">
          <cell r="A1086">
            <v>0</v>
          </cell>
          <cell r="K1086">
            <v>0</v>
          </cell>
        </row>
        <row r="1087">
          <cell r="A1087">
            <v>0</v>
          </cell>
          <cell r="K1087">
            <v>0</v>
          </cell>
        </row>
        <row r="1088">
          <cell r="A1088">
            <v>0</v>
          </cell>
          <cell r="K1088">
            <v>0</v>
          </cell>
        </row>
        <row r="1089">
          <cell r="A1089">
            <v>0</v>
          </cell>
          <cell r="K1089">
            <v>0</v>
          </cell>
        </row>
        <row r="1090">
          <cell r="A1090">
            <v>0</v>
          </cell>
          <cell r="K1090">
            <v>0</v>
          </cell>
        </row>
        <row r="1091">
          <cell r="A1091">
            <v>0</v>
          </cell>
          <cell r="K1091">
            <v>0</v>
          </cell>
        </row>
        <row r="1092">
          <cell r="A1092">
            <v>0</v>
          </cell>
          <cell r="K1092">
            <v>0</v>
          </cell>
        </row>
        <row r="1093">
          <cell r="A1093">
            <v>0</v>
          </cell>
          <cell r="K1093">
            <v>0</v>
          </cell>
        </row>
        <row r="1094">
          <cell r="A1094">
            <v>0</v>
          </cell>
          <cell r="K1094">
            <v>0</v>
          </cell>
        </row>
        <row r="1095">
          <cell r="A1095">
            <v>0</v>
          </cell>
          <cell r="K1095">
            <v>0</v>
          </cell>
        </row>
        <row r="1096">
          <cell r="A1096">
            <v>0</v>
          </cell>
          <cell r="K1096">
            <v>0</v>
          </cell>
        </row>
        <row r="1097">
          <cell r="A1097">
            <v>0</v>
          </cell>
          <cell r="K1097">
            <v>0</v>
          </cell>
        </row>
        <row r="1098">
          <cell r="A1098">
            <v>0</v>
          </cell>
          <cell r="K1098">
            <v>0</v>
          </cell>
        </row>
        <row r="1099">
          <cell r="A1099">
            <v>0</v>
          </cell>
          <cell r="K1099">
            <v>0</v>
          </cell>
        </row>
        <row r="1100">
          <cell r="A1100">
            <v>0</v>
          </cell>
          <cell r="K1100">
            <v>0</v>
          </cell>
        </row>
        <row r="1101">
          <cell r="A1101">
            <v>0</v>
          </cell>
          <cell r="K1101">
            <v>0</v>
          </cell>
        </row>
        <row r="1102">
          <cell r="A1102">
            <v>0</v>
          </cell>
          <cell r="K1102">
            <v>0</v>
          </cell>
        </row>
        <row r="1103">
          <cell r="A1103">
            <v>0</v>
          </cell>
          <cell r="K1103">
            <v>0</v>
          </cell>
        </row>
        <row r="1104">
          <cell r="A1104">
            <v>0</v>
          </cell>
          <cell r="K1104">
            <v>0</v>
          </cell>
        </row>
        <row r="1105">
          <cell r="A1105">
            <v>0</v>
          </cell>
          <cell r="K1105">
            <v>0</v>
          </cell>
        </row>
        <row r="1106">
          <cell r="A1106">
            <v>0</v>
          </cell>
          <cell r="K1106">
            <v>0</v>
          </cell>
        </row>
        <row r="1107">
          <cell r="A1107">
            <v>0</v>
          </cell>
          <cell r="K1107">
            <v>0</v>
          </cell>
        </row>
        <row r="1108">
          <cell r="A1108">
            <v>0</v>
          </cell>
          <cell r="K1108">
            <v>0</v>
          </cell>
        </row>
        <row r="1109">
          <cell r="A1109">
            <v>0</v>
          </cell>
          <cell r="K1109">
            <v>0</v>
          </cell>
        </row>
        <row r="1110">
          <cell r="A1110">
            <v>0</v>
          </cell>
          <cell r="K1110">
            <v>0</v>
          </cell>
        </row>
        <row r="1111">
          <cell r="A1111">
            <v>0</v>
          </cell>
          <cell r="K1111">
            <v>0</v>
          </cell>
        </row>
        <row r="1112">
          <cell r="A1112">
            <v>0</v>
          </cell>
          <cell r="K1112">
            <v>0</v>
          </cell>
        </row>
        <row r="1113">
          <cell r="A1113">
            <v>0</v>
          </cell>
          <cell r="K1113">
            <v>0</v>
          </cell>
        </row>
        <row r="1114">
          <cell r="A1114">
            <v>0</v>
          </cell>
          <cell r="K1114">
            <v>0</v>
          </cell>
        </row>
        <row r="1115">
          <cell r="A1115">
            <v>0</v>
          </cell>
          <cell r="K1115">
            <v>0</v>
          </cell>
        </row>
        <row r="1116">
          <cell r="A1116">
            <v>0</v>
          </cell>
          <cell r="K1116">
            <v>0</v>
          </cell>
        </row>
        <row r="1117">
          <cell r="A1117">
            <v>0</v>
          </cell>
          <cell r="K1117">
            <v>0</v>
          </cell>
        </row>
        <row r="1118">
          <cell r="A1118">
            <v>0</v>
          </cell>
          <cell r="K1118">
            <v>0</v>
          </cell>
        </row>
        <row r="1119">
          <cell r="A1119">
            <v>0</v>
          </cell>
          <cell r="K1119">
            <v>0</v>
          </cell>
        </row>
        <row r="1120">
          <cell r="A1120">
            <v>0</v>
          </cell>
          <cell r="K1120">
            <v>0</v>
          </cell>
        </row>
        <row r="1121">
          <cell r="A1121">
            <v>0</v>
          </cell>
          <cell r="K1121">
            <v>0</v>
          </cell>
        </row>
        <row r="1122">
          <cell r="A1122">
            <v>0</v>
          </cell>
          <cell r="K1122">
            <v>0</v>
          </cell>
        </row>
        <row r="1123">
          <cell r="A1123">
            <v>0</v>
          </cell>
          <cell r="K1123">
            <v>0</v>
          </cell>
        </row>
        <row r="1124">
          <cell r="A1124">
            <v>0</v>
          </cell>
          <cell r="K1124">
            <v>0</v>
          </cell>
        </row>
        <row r="1125">
          <cell r="A1125">
            <v>0</v>
          </cell>
          <cell r="K1125">
            <v>0</v>
          </cell>
        </row>
        <row r="1126">
          <cell r="A1126">
            <v>0</v>
          </cell>
          <cell r="K1126">
            <v>0</v>
          </cell>
        </row>
        <row r="1127">
          <cell r="A1127">
            <v>0</v>
          </cell>
          <cell r="K1127">
            <v>0</v>
          </cell>
        </row>
        <row r="1128">
          <cell r="A1128">
            <v>0</v>
          </cell>
          <cell r="K1128">
            <v>0</v>
          </cell>
        </row>
        <row r="1129">
          <cell r="A1129">
            <v>0</v>
          </cell>
          <cell r="K1129">
            <v>0</v>
          </cell>
        </row>
        <row r="1130">
          <cell r="A1130">
            <v>0</v>
          </cell>
          <cell r="K1130">
            <v>0</v>
          </cell>
        </row>
        <row r="1131">
          <cell r="A1131">
            <v>0</v>
          </cell>
          <cell r="K1131">
            <v>0</v>
          </cell>
        </row>
        <row r="1132">
          <cell r="A1132">
            <v>0</v>
          </cell>
          <cell r="K1132">
            <v>0</v>
          </cell>
        </row>
        <row r="1133">
          <cell r="A1133">
            <v>0</v>
          </cell>
          <cell r="K1133">
            <v>0</v>
          </cell>
        </row>
        <row r="1134">
          <cell r="A1134">
            <v>0</v>
          </cell>
          <cell r="K1134">
            <v>0</v>
          </cell>
        </row>
        <row r="1135">
          <cell r="A1135">
            <v>0</v>
          </cell>
          <cell r="K1135">
            <v>0</v>
          </cell>
        </row>
        <row r="1136">
          <cell r="A1136">
            <v>0</v>
          </cell>
          <cell r="K1136">
            <v>0</v>
          </cell>
        </row>
        <row r="1137">
          <cell r="A1137">
            <v>0</v>
          </cell>
          <cell r="K1137">
            <v>0</v>
          </cell>
        </row>
        <row r="1138">
          <cell r="A1138">
            <v>0</v>
          </cell>
          <cell r="K1138">
            <v>0</v>
          </cell>
        </row>
        <row r="1139">
          <cell r="A1139">
            <v>0</v>
          </cell>
          <cell r="K1139">
            <v>0</v>
          </cell>
        </row>
        <row r="1140">
          <cell r="A1140">
            <v>0</v>
          </cell>
          <cell r="K1140">
            <v>0</v>
          </cell>
        </row>
        <row r="1141">
          <cell r="A1141">
            <v>0</v>
          </cell>
          <cell r="K1141">
            <v>0</v>
          </cell>
        </row>
        <row r="1142">
          <cell r="A1142">
            <v>0</v>
          </cell>
          <cell r="K1142">
            <v>0</v>
          </cell>
        </row>
        <row r="1143">
          <cell r="A1143">
            <v>0</v>
          </cell>
          <cell r="K1143">
            <v>0</v>
          </cell>
        </row>
        <row r="1144">
          <cell r="A1144">
            <v>0</v>
          </cell>
          <cell r="K1144">
            <v>0</v>
          </cell>
        </row>
        <row r="1145">
          <cell r="A1145">
            <v>0</v>
          </cell>
          <cell r="K1145">
            <v>0</v>
          </cell>
        </row>
        <row r="1146">
          <cell r="A1146">
            <v>0</v>
          </cell>
          <cell r="K1146">
            <v>0</v>
          </cell>
        </row>
        <row r="1147">
          <cell r="A1147">
            <v>0</v>
          </cell>
          <cell r="K1147">
            <v>0</v>
          </cell>
        </row>
        <row r="1148">
          <cell r="A1148">
            <v>0</v>
          </cell>
          <cell r="K1148">
            <v>0</v>
          </cell>
        </row>
        <row r="1149">
          <cell r="A1149">
            <v>0</v>
          </cell>
          <cell r="K1149">
            <v>0</v>
          </cell>
        </row>
        <row r="1150">
          <cell r="A1150">
            <v>0</v>
          </cell>
          <cell r="K1150">
            <v>0</v>
          </cell>
        </row>
        <row r="1151">
          <cell r="A1151">
            <v>0</v>
          </cell>
          <cell r="K1151">
            <v>0</v>
          </cell>
        </row>
        <row r="1152">
          <cell r="A1152">
            <v>0</v>
          </cell>
          <cell r="K1152">
            <v>0</v>
          </cell>
        </row>
        <row r="1153">
          <cell r="A1153">
            <v>0</v>
          </cell>
          <cell r="K1153">
            <v>0</v>
          </cell>
        </row>
        <row r="1154">
          <cell r="A1154">
            <v>0</v>
          </cell>
          <cell r="K1154">
            <v>0</v>
          </cell>
        </row>
        <row r="1155">
          <cell r="A1155">
            <v>0</v>
          </cell>
          <cell r="K1155">
            <v>0</v>
          </cell>
        </row>
        <row r="1156">
          <cell r="A1156">
            <v>0</v>
          </cell>
          <cell r="K1156">
            <v>0</v>
          </cell>
        </row>
        <row r="1157">
          <cell r="A1157">
            <v>0</v>
          </cell>
          <cell r="K1157">
            <v>0</v>
          </cell>
        </row>
        <row r="1158">
          <cell r="A1158">
            <v>0</v>
          </cell>
          <cell r="K1158">
            <v>0</v>
          </cell>
        </row>
        <row r="1159">
          <cell r="A1159">
            <v>0</v>
          </cell>
          <cell r="K1159">
            <v>0</v>
          </cell>
        </row>
        <row r="1160">
          <cell r="A1160">
            <v>0</v>
          </cell>
          <cell r="K1160">
            <v>0</v>
          </cell>
        </row>
        <row r="1161">
          <cell r="A1161">
            <v>0</v>
          </cell>
          <cell r="K1161">
            <v>0</v>
          </cell>
        </row>
        <row r="1162">
          <cell r="A1162">
            <v>0</v>
          </cell>
          <cell r="K1162">
            <v>0</v>
          </cell>
        </row>
        <row r="1163">
          <cell r="A1163">
            <v>0</v>
          </cell>
          <cell r="K1163">
            <v>0</v>
          </cell>
        </row>
        <row r="1164">
          <cell r="A1164">
            <v>0</v>
          </cell>
          <cell r="K1164">
            <v>0</v>
          </cell>
        </row>
        <row r="1165">
          <cell r="A1165">
            <v>0</v>
          </cell>
          <cell r="K1165">
            <v>0</v>
          </cell>
        </row>
        <row r="1166">
          <cell r="A1166">
            <v>0</v>
          </cell>
          <cell r="K1166">
            <v>0</v>
          </cell>
        </row>
        <row r="1167">
          <cell r="A1167">
            <v>0</v>
          </cell>
          <cell r="K1167">
            <v>0</v>
          </cell>
        </row>
        <row r="1168">
          <cell r="A1168">
            <v>0</v>
          </cell>
          <cell r="K1168">
            <v>0</v>
          </cell>
        </row>
        <row r="1169">
          <cell r="A1169">
            <v>0</v>
          </cell>
          <cell r="K1169">
            <v>0</v>
          </cell>
        </row>
        <row r="1170">
          <cell r="A1170">
            <v>0</v>
          </cell>
          <cell r="K1170">
            <v>0</v>
          </cell>
        </row>
        <row r="1171">
          <cell r="A1171">
            <v>0</v>
          </cell>
          <cell r="K1171">
            <v>0</v>
          </cell>
        </row>
        <row r="1172">
          <cell r="A1172">
            <v>0</v>
          </cell>
          <cell r="K1172">
            <v>0</v>
          </cell>
        </row>
        <row r="1173">
          <cell r="A1173">
            <v>0</v>
          </cell>
          <cell r="K1173">
            <v>0</v>
          </cell>
        </row>
        <row r="1174">
          <cell r="A1174">
            <v>0</v>
          </cell>
          <cell r="K1174">
            <v>0</v>
          </cell>
        </row>
        <row r="1175">
          <cell r="A1175">
            <v>0</v>
          </cell>
          <cell r="K1175">
            <v>0</v>
          </cell>
        </row>
        <row r="1176">
          <cell r="A1176">
            <v>0</v>
          </cell>
          <cell r="K1176">
            <v>0</v>
          </cell>
        </row>
        <row r="1177">
          <cell r="A1177">
            <v>0</v>
          </cell>
          <cell r="K1177">
            <v>0</v>
          </cell>
        </row>
        <row r="1178">
          <cell r="A1178">
            <v>0</v>
          </cell>
          <cell r="K1178">
            <v>0</v>
          </cell>
        </row>
        <row r="1179">
          <cell r="A1179">
            <v>0</v>
          </cell>
          <cell r="K1179">
            <v>0</v>
          </cell>
        </row>
        <row r="1180">
          <cell r="A1180">
            <v>0</v>
          </cell>
          <cell r="K1180">
            <v>0</v>
          </cell>
        </row>
        <row r="1181">
          <cell r="A1181">
            <v>0</v>
          </cell>
          <cell r="K1181">
            <v>0</v>
          </cell>
        </row>
        <row r="1182">
          <cell r="A1182">
            <v>0</v>
          </cell>
          <cell r="K1182">
            <v>0</v>
          </cell>
        </row>
        <row r="1183">
          <cell r="A1183">
            <v>0</v>
          </cell>
          <cell r="K1183">
            <v>0</v>
          </cell>
        </row>
        <row r="1184">
          <cell r="A1184">
            <v>0</v>
          </cell>
          <cell r="K1184">
            <v>0</v>
          </cell>
        </row>
        <row r="1185">
          <cell r="A1185">
            <v>0</v>
          </cell>
          <cell r="K1185">
            <v>0</v>
          </cell>
        </row>
        <row r="1186">
          <cell r="A1186">
            <v>0</v>
          </cell>
          <cell r="K1186">
            <v>0</v>
          </cell>
        </row>
        <row r="1187">
          <cell r="A1187">
            <v>0</v>
          </cell>
          <cell r="K1187">
            <v>0</v>
          </cell>
        </row>
        <row r="1188">
          <cell r="A1188">
            <v>0</v>
          </cell>
          <cell r="K1188">
            <v>0</v>
          </cell>
        </row>
        <row r="1189">
          <cell r="A1189">
            <v>0</v>
          </cell>
          <cell r="K1189">
            <v>0</v>
          </cell>
        </row>
        <row r="1190">
          <cell r="A1190">
            <v>0</v>
          </cell>
          <cell r="K1190">
            <v>0</v>
          </cell>
        </row>
        <row r="1191">
          <cell r="A1191">
            <v>0</v>
          </cell>
          <cell r="K1191">
            <v>0</v>
          </cell>
        </row>
        <row r="1192">
          <cell r="A1192">
            <v>0</v>
          </cell>
          <cell r="K1192">
            <v>0</v>
          </cell>
        </row>
        <row r="1193">
          <cell r="A1193">
            <v>0</v>
          </cell>
          <cell r="K1193">
            <v>0</v>
          </cell>
        </row>
        <row r="1194">
          <cell r="A1194">
            <v>0</v>
          </cell>
          <cell r="K1194">
            <v>0</v>
          </cell>
        </row>
        <row r="1195">
          <cell r="A1195">
            <v>0</v>
          </cell>
          <cell r="K1195">
            <v>0</v>
          </cell>
        </row>
        <row r="1196">
          <cell r="A1196">
            <v>0</v>
          </cell>
          <cell r="K1196">
            <v>0</v>
          </cell>
        </row>
        <row r="1197">
          <cell r="A1197">
            <v>0</v>
          </cell>
          <cell r="K1197">
            <v>0</v>
          </cell>
        </row>
        <row r="1198">
          <cell r="A1198">
            <v>0</v>
          </cell>
          <cell r="K1198">
            <v>0</v>
          </cell>
        </row>
        <row r="1199">
          <cell r="A1199">
            <v>0</v>
          </cell>
          <cell r="K1199">
            <v>0</v>
          </cell>
        </row>
        <row r="1200">
          <cell r="A1200">
            <v>0</v>
          </cell>
          <cell r="K1200">
            <v>0</v>
          </cell>
        </row>
        <row r="1201">
          <cell r="A1201">
            <v>0</v>
          </cell>
          <cell r="K1201">
            <v>0</v>
          </cell>
        </row>
        <row r="1202">
          <cell r="A1202">
            <v>0</v>
          </cell>
          <cell r="K1202">
            <v>0</v>
          </cell>
        </row>
        <row r="1203">
          <cell r="A1203">
            <v>0</v>
          </cell>
          <cell r="K1203">
            <v>0</v>
          </cell>
        </row>
        <row r="1204">
          <cell r="A1204">
            <v>0</v>
          </cell>
          <cell r="K1204">
            <v>0</v>
          </cell>
        </row>
        <row r="1205">
          <cell r="A1205">
            <v>0</v>
          </cell>
          <cell r="K1205">
            <v>0</v>
          </cell>
        </row>
        <row r="1206">
          <cell r="A1206">
            <v>0</v>
          </cell>
          <cell r="K1206">
            <v>0</v>
          </cell>
        </row>
        <row r="1207">
          <cell r="A1207">
            <v>0</v>
          </cell>
          <cell r="K1207">
            <v>0</v>
          </cell>
        </row>
        <row r="1208">
          <cell r="A1208">
            <v>0</v>
          </cell>
          <cell r="K1208">
            <v>0</v>
          </cell>
        </row>
        <row r="1209">
          <cell r="A1209">
            <v>0</v>
          </cell>
          <cell r="K1209">
            <v>0</v>
          </cell>
        </row>
        <row r="1210">
          <cell r="A1210">
            <v>0</v>
          </cell>
          <cell r="K1210">
            <v>0</v>
          </cell>
        </row>
        <row r="1211">
          <cell r="A1211">
            <v>0</v>
          </cell>
          <cell r="K1211">
            <v>0</v>
          </cell>
        </row>
        <row r="1212">
          <cell r="A1212">
            <v>0</v>
          </cell>
          <cell r="K1212">
            <v>0</v>
          </cell>
        </row>
        <row r="1213">
          <cell r="A1213">
            <v>0</v>
          </cell>
          <cell r="K1213">
            <v>0</v>
          </cell>
        </row>
        <row r="1214">
          <cell r="A1214">
            <v>0</v>
          </cell>
          <cell r="K1214">
            <v>0</v>
          </cell>
        </row>
        <row r="1215">
          <cell r="A1215">
            <v>0</v>
          </cell>
          <cell r="K1215">
            <v>0</v>
          </cell>
        </row>
        <row r="1216">
          <cell r="A1216">
            <v>0</v>
          </cell>
          <cell r="K1216">
            <v>0</v>
          </cell>
        </row>
        <row r="1217">
          <cell r="A1217">
            <v>0</v>
          </cell>
          <cell r="K1217">
            <v>0</v>
          </cell>
        </row>
        <row r="1218">
          <cell r="A1218">
            <v>0</v>
          </cell>
          <cell r="K1218">
            <v>0</v>
          </cell>
        </row>
        <row r="1219">
          <cell r="A1219">
            <v>0</v>
          </cell>
          <cell r="K1219">
            <v>0</v>
          </cell>
        </row>
        <row r="1220">
          <cell r="A1220">
            <v>0</v>
          </cell>
          <cell r="K1220">
            <v>0</v>
          </cell>
        </row>
        <row r="1221">
          <cell r="A1221">
            <v>0</v>
          </cell>
          <cell r="K1221">
            <v>0</v>
          </cell>
        </row>
        <row r="1222">
          <cell r="A1222">
            <v>0</v>
          </cell>
          <cell r="K1222">
            <v>0</v>
          </cell>
        </row>
        <row r="1223">
          <cell r="A1223">
            <v>0</v>
          </cell>
          <cell r="K1223">
            <v>0</v>
          </cell>
        </row>
        <row r="1224">
          <cell r="A1224">
            <v>0</v>
          </cell>
          <cell r="K1224">
            <v>0</v>
          </cell>
        </row>
        <row r="1225">
          <cell r="A1225">
            <v>0</v>
          </cell>
          <cell r="K1225">
            <v>0</v>
          </cell>
        </row>
        <row r="1226">
          <cell r="A1226">
            <v>0</v>
          </cell>
          <cell r="K1226">
            <v>0</v>
          </cell>
        </row>
        <row r="1227">
          <cell r="A1227">
            <v>0</v>
          </cell>
          <cell r="K1227">
            <v>0</v>
          </cell>
        </row>
        <row r="1228">
          <cell r="A1228">
            <v>0</v>
          </cell>
          <cell r="K1228">
            <v>0</v>
          </cell>
        </row>
        <row r="1229">
          <cell r="A1229">
            <v>0</v>
          </cell>
          <cell r="K1229">
            <v>0</v>
          </cell>
        </row>
        <row r="1230">
          <cell r="A1230">
            <v>0</v>
          </cell>
          <cell r="K1230">
            <v>0</v>
          </cell>
        </row>
        <row r="1231">
          <cell r="A1231">
            <v>0</v>
          </cell>
          <cell r="K1231">
            <v>0</v>
          </cell>
        </row>
        <row r="1232">
          <cell r="A1232">
            <v>0</v>
          </cell>
          <cell r="K1232">
            <v>0</v>
          </cell>
        </row>
        <row r="1233">
          <cell r="A1233">
            <v>0</v>
          </cell>
          <cell r="K1233">
            <v>0</v>
          </cell>
        </row>
        <row r="1234">
          <cell r="A1234">
            <v>0</v>
          </cell>
          <cell r="K1234">
            <v>0</v>
          </cell>
        </row>
        <row r="1235">
          <cell r="A1235">
            <v>0</v>
          </cell>
          <cell r="K1235">
            <v>0</v>
          </cell>
        </row>
        <row r="1236">
          <cell r="A1236">
            <v>0</v>
          </cell>
          <cell r="K1236">
            <v>0</v>
          </cell>
        </row>
        <row r="1237">
          <cell r="A1237">
            <v>0</v>
          </cell>
          <cell r="K1237">
            <v>0</v>
          </cell>
        </row>
        <row r="1238">
          <cell r="A1238">
            <v>0</v>
          </cell>
          <cell r="K1238">
            <v>0</v>
          </cell>
        </row>
        <row r="1239">
          <cell r="A1239">
            <v>0</v>
          </cell>
          <cell r="K1239">
            <v>0</v>
          </cell>
        </row>
        <row r="1240">
          <cell r="A1240">
            <v>0</v>
          </cell>
          <cell r="K1240">
            <v>0</v>
          </cell>
        </row>
        <row r="1241">
          <cell r="A1241">
            <v>0</v>
          </cell>
          <cell r="K1241">
            <v>0</v>
          </cell>
        </row>
        <row r="1242">
          <cell r="A1242">
            <v>0</v>
          </cell>
          <cell r="K1242">
            <v>0</v>
          </cell>
        </row>
        <row r="1243">
          <cell r="A1243">
            <v>0</v>
          </cell>
          <cell r="K1243">
            <v>0</v>
          </cell>
        </row>
        <row r="1244">
          <cell r="A1244">
            <v>0</v>
          </cell>
          <cell r="K1244">
            <v>0</v>
          </cell>
        </row>
        <row r="1245">
          <cell r="A1245">
            <v>0</v>
          </cell>
          <cell r="K1245">
            <v>0</v>
          </cell>
        </row>
        <row r="1246">
          <cell r="A1246">
            <v>0</v>
          </cell>
          <cell r="K1246">
            <v>0</v>
          </cell>
        </row>
        <row r="1247">
          <cell r="A1247">
            <v>0</v>
          </cell>
          <cell r="K1247">
            <v>0</v>
          </cell>
        </row>
        <row r="1248">
          <cell r="A1248">
            <v>0</v>
          </cell>
          <cell r="K1248">
            <v>0</v>
          </cell>
        </row>
        <row r="1249">
          <cell r="A1249">
            <v>0</v>
          </cell>
          <cell r="K1249">
            <v>0</v>
          </cell>
        </row>
        <row r="1250">
          <cell r="A1250">
            <v>0</v>
          </cell>
          <cell r="K1250">
            <v>0</v>
          </cell>
        </row>
        <row r="1251">
          <cell r="A1251">
            <v>0</v>
          </cell>
          <cell r="K1251">
            <v>0</v>
          </cell>
        </row>
        <row r="1252">
          <cell r="A1252">
            <v>0</v>
          </cell>
          <cell r="K1252">
            <v>0</v>
          </cell>
        </row>
        <row r="1253">
          <cell r="A1253">
            <v>0</v>
          </cell>
          <cell r="K1253">
            <v>0</v>
          </cell>
        </row>
        <row r="1254">
          <cell r="A1254">
            <v>0</v>
          </cell>
          <cell r="K1254">
            <v>0</v>
          </cell>
        </row>
        <row r="1255">
          <cell r="A1255">
            <v>0</v>
          </cell>
          <cell r="K1255">
            <v>0</v>
          </cell>
        </row>
        <row r="1256">
          <cell r="A1256">
            <v>0</v>
          </cell>
          <cell r="K1256">
            <v>0</v>
          </cell>
        </row>
        <row r="1257">
          <cell r="A1257">
            <v>0</v>
          </cell>
          <cell r="K1257">
            <v>0</v>
          </cell>
        </row>
        <row r="1258">
          <cell r="A1258">
            <v>0</v>
          </cell>
          <cell r="K1258">
            <v>0</v>
          </cell>
        </row>
        <row r="1259">
          <cell r="A1259">
            <v>0</v>
          </cell>
          <cell r="K1259">
            <v>0</v>
          </cell>
        </row>
        <row r="1260">
          <cell r="A1260">
            <v>0</v>
          </cell>
          <cell r="K1260">
            <v>0</v>
          </cell>
        </row>
        <row r="1261">
          <cell r="A1261">
            <v>0</v>
          </cell>
          <cell r="K1261">
            <v>0</v>
          </cell>
        </row>
        <row r="1262">
          <cell r="A1262">
            <v>0</v>
          </cell>
          <cell r="K1262">
            <v>0</v>
          </cell>
        </row>
        <row r="1263">
          <cell r="A1263">
            <v>0</v>
          </cell>
          <cell r="K1263">
            <v>0</v>
          </cell>
        </row>
        <row r="1264">
          <cell r="A1264">
            <v>0</v>
          </cell>
          <cell r="K1264">
            <v>0</v>
          </cell>
        </row>
        <row r="1265">
          <cell r="A1265">
            <v>0</v>
          </cell>
          <cell r="K1265">
            <v>0</v>
          </cell>
        </row>
        <row r="1266">
          <cell r="A1266">
            <v>0</v>
          </cell>
          <cell r="K1266">
            <v>0</v>
          </cell>
        </row>
        <row r="1267">
          <cell r="A1267">
            <v>0</v>
          </cell>
          <cell r="K1267">
            <v>0</v>
          </cell>
        </row>
        <row r="1268">
          <cell r="A1268">
            <v>0</v>
          </cell>
          <cell r="K1268">
            <v>0</v>
          </cell>
        </row>
        <row r="1269">
          <cell r="A1269">
            <v>0</v>
          </cell>
          <cell r="K1269">
            <v>0</v>
          </cell>
        </row>
        <row r="1270">
          <cell r="A1270">
            <v>0</v>
          </cell>
          <cell r="K1270">
            <v>0</v>
          </cell>
        </row>
        <row r="1271">
          <cell r="A1271">
            <v>0</v>
          </cell>
          <cell r="K1271">
            <v>0</v>
          </cell>
        </row>
        <row r="1272">
          <cell r="A1272">
            <v>0</v>
          </cell>
          <cell r="K1272">
            <v>0</v>
          </cell>
        </row>
        <row r="1273">
          <cell r="A1273">
            <v>0</v>
          </cell>
          <cell r="K1273">
            <v>0</v>
          </cell>
        </row>
        <row r="1274">
          <cell r="A1274">
            <v>0</v>
          </cell>
          <cell r="K1274">
            <v>0</v>
          </cell>
        </row>
        <row r="1275">
          <cell r="A1275">
            <v>0</v>
          </cell>
          <cell r="K1275">
            <v>0</v>
          </cell>
        </row>
        <row r="1276">
          <cell r="A1276">
            <v>0</v>
          </cell>
          <cell r="K1276">
            <v>0</v>
          </cell>
        </row>
        <row r="1277">
          <cell r="A1277">
            <v>0</v>
          </cell>
          <cell r="K1277">
            <v>0</v>
          </cell>
        </row>
        <row r="1278">
          <cell r="A1278">
            <v>0</v>
          </cell>
          <cell r="K1278">
            <v>0</v>
          </cell>
        </row>
        <row r="1279">
          <cell r="A1279">
            <v>0</v>
          </cell>
          <cell r="K1279">
            <v>0</v>
          </cell>
        </row>
        <row r="1280">
          <cell r="A1280">
            <v>0</v>
          </cell>
          <cell r="K1280">
            <v>0</v>
          </cell>
        </row>
        <row r="1281">
          <cell r="A1281">
            <v>0</v>
          </cell>
          <cell r="K1281">
            <v>0</v>
          </cell>
        </row>
        <row r="1282">
          <cell r="A1282">
            <v>0</v>
          </cell>
          <cell r="K1282">
            <v>0</v>
          </cell>
        </row>
        <row r="1283">
          <cell r="A1283">
            <v>0</v>
          </cell>
          <cell r="K1283">
            <v>0</v>
          </cell>
        </row>
        <row r="1284">
          <cell r="A1284">
            <v>0</v>
          </cell>
          <cell r="K1284">
            <v>0</v>
          </cell>
        </row>
        <row r="1285">
          <cell r="A1285">
            <v>0</v>
          </cell>
          <cell r="K1285">
            <v>0</v>
          </cell>
        </row>
        <row r="1286">
          <cell r="A1286">
            <v>0</v>
          </cell>
          <cell r="K1286">
            <v>0</v>
          </cell>
        </row>
        <row r="1287">
          <cell r="A1287">
            <v>0</v>
          </cell>
          <cell r="K1287">
            <v>0</v>
          </cell>
        </row>
        <row r="1288">
          <cell r="A1288">
            <v>0</v>
          </cell>
          <cell r="K1288">
            <v>0</v>
          </cell>
        </row>
        <row r="1289">
          <cell r="A1289">
            <v>0</v>
          </cell>
          <cell r="K1289">
            <v>0</v>
          </cell>
        </row>
        <row r="1290">
          <cell r="A1290">
            <v>0</v>
          </cell>
          <cell r="K1290">
            <v>0</v>
          </cell>
        </row>
        <row r="1291">
          <cell r="A1291">
            <v>0</v>
          </cell>
          <cell r="K1291">
            <v>0</v>
          </cell>
        </row>
        <row r="1292">
          <cell r="A1292">
            <v>0</v>
          </cell>
          <cell r="K1292">
            <v>0</v>
          </cell>
        </row>
        <row r="1293">
          <cell r="A1293">
            <v>0</v>
          </cell>
          <cell r="K1293">
            <v>0</v>
          </cell>
        </row>
        <row r="1294">
          <cell r="A1294">
            <v>0</v>
          </cell>
          <cell r="K1294">
            <v>0</v>
          </cell>
        </row>
        <row r="1295">
          <cell r="A1295">
            <v>0</v>
          </cell>
          <cell r="K1295">
            <v>0</v>
          </cell>
        </row>
        <row r="1296">
          <cell r="A1296">
            <v>0</v>
          </cell>
          <cell r="K1296">
            <v>0</v>
          </cell>
        </row>
        <row r="1297">
          <cell r="A1297">
            <v>0</v>
          </cell>
          <cell r="K1297">
            <v>0</v>
          </cell>
        </row>
        <row r="1298">
          <cell r="A1298">
            <v>0</v>
          </cell>
          <cell r="K1298">
            <v>0</v>
          </cell>
        </row>
        <row r="1299">
          <cell r="A1299">
            <v>0</v>
          </cell>
          <cell r="K1299">
            <v>0</v>
          </cell>
        </row>
        <row r="1300">
          <cell r="A1300">
            <v>0</v>
          </cell>
          <cell r="K1300">
            <v>0</v>
          </cell>
        </row>
        <row r="1301">
          <cell r="A1301">
            <v>0</v>
          </cell>
          <cell r="K1301">
            <v>0</v>
          </cell>
        </row>
        <row r="1302">
          <cell r="A1302">
            <v>0</v>
          </cell>
          <cell r="K1302">
            <v>0</v>
          </cell>
        </row>
        <row r="1303">
          <cell r="A1303">
            <v>0</v>
          </cell>
          <cell r="K1303">
            <v>0</v>
          </cell>
        </row>
        <row r="1304">
          <cell r="A1304">
            <v>0</v>
          </cell>
          <cell r="K1304">
            <v>0</v>
          </cell>
        </row>
        <row r="1305">
          <cell r="A1305">
            <v>0</v>
          </cell>
          <cell r="K1305">
            <v>0</v>
          </cell>
        </row>
        <row r="1306">
          <cell r="A1306">
            <v>0</v>
          </cell>
          <cell r="K1306">
            <v>0</v>
          </cell>
        </row>
        <row r="1307">
          <cell r="A1307">
            <v>0</v>
          </cell>
          <cell r="K1307">
            <v>0</v>
          </cell>
        </row>
        <row r="1308">
          <cell r="A1308">
            <v>0</v>
          </cell>
          <cell r="K1308">
            <v>0</v>
          </cell>
        </row>
        <row r="1309">
          <cell r="A1309">
            <v>0</v>
          </cell>
          <cell r="K1309">
            <v>0</v>
          </cell>
        </row>
        <row r="1310">
          <cell r="A1310">
            <v>0</v>
          </cell>
          <cell r="K1310">
            <v>0</v>
          </cell>
        </row>
        <row r="1311">
          <cell r="A1311">
            <v>0</v>
          </cell>
          <cell r="K1311">
            <v>0</v>
          </cell>
        </row>
        <row r="1312">
          <cell r="A1312">
            <v>0</v>
          </cell>
          <cell r="K1312">
            <v>0</v>
          </cell>
        </row>
        <row r="1313">
          <cell r="A1313">
            <v>0</v>
          </cell>
          <cell r="K1313">
            <v>0</v>
          </cell>
        </row>
        <row r="1314">
          <cell r="A1314">
            <v>0</v>
          </cell>
          <cell r="K1314">
            <v>0</v>
          </cell>
        </row>
        <row r="1315">
          <cell r="A1315">
            <v>0</v>
          </cell>
          <cell r="K1315">
            <v>0</v>
          </cell>
        </row>
        <row r="1316">
          <cell r="A1316">
            <v>0</v>
          </cell>
          <cell r="K1316">
            <v>0</v>
          </cell>
        </row>
        <row r="1317">
          <cell r="A1317">
            <v>0</v>
          </cell>
          <cell r="K1317">
            <v>0</v>
          </cell>
        </row>
        <row r="1318">
          <cell r="A1318">
            <v>0</v>
          </cell>
          <cell r="K1318">
            <v>0</v>
          </cell>
        </row>
        <row r="1319">
          <cell r="A1319">
            <v>0</v>
          </cell>
          <cell r="K1319">
            <v>0</v>
          </cell>
        </row>
        <row r="1320">
          <cell r="A1320">
            <v>0</v>
          </cell>
          <cell r="K1320">
            <v>0</v>
          </cell>
        </row>
        <row r="1321">
          <cell r="A1321">
            <v>0</v>
          </cell>
          <cell r="K1321">
            <v>0</v>
          </cell>
        </row>
        <row r="1322">
          <cell r="A1322">
            <v>0</v>
          </cell>
          <cell r="K1322">
            <v>0</v>
          </cell>
        </row>
        <row r="1323">
          <cell r="A1323">
            <v>0</v>
          </cell>
          <cell r="K1323">
            <v>0</v>
          </cell>
        </row>
        <row r="1324">
          <cell r="A1324">
            <v>0</v>
          </cell>
          <cell r="K1324">
            <v>0</v>
          </cell>
        </row>
        <row r="1325">
          <cell r="A1325">
            <v>0</v>
          </cell>
          <cell r="K1325">
            <v>0</v>
          </cell>
        </row>
        <row r="1326">
          <cell r="A1326">
            <v>0</v>
          </cell>
          <cell r="K1326">
            <v>0</v>
          </cell>
        </row>
        <row r="1327">
          <cell r="A1327">
            <v>0</v>
          </cell>
          <cell r="K1327">
            <v>0</v>
          </cell>
        </row>
        <row r="1328">
          <cell r="A1328">
            <v>0</v>
          </cell>
          <cell r="K1328">
            <v>0</v>
          </cell>
        </row>
        <row r="1329">
          <cell r="A1329">
            <v>0</v>
          </cell>
          <cell r="K1329">
            <v>0</v>
          </cell>
        </row>
        <row r="1330">
          <cell r="A1330">
            <v>0</v>
          </cell>
          <cell r="K1330">
            <v>0</v>
          </cell>
        </row>
        <row r="1331">
          <cell r="A1331">
            <v>0</v>
          </cell>
          <cell r="K1331">
            <v>0</v>
          </cell>
        </row>
        <row r="1332">
          <cell r="A1332">
            <v>0</v>
          </cell>
          <cell r="K1332">
            <v>0</v>
          </cell>
        </row>
        <row r="1333">
          <cell r="A1333">
            <v>0</v>
          </cell>
          <cell r="K1333">
            <v>0</v>
          </cell>
        </row>
        <row r="1334">
          <cell r="A1334">
            <v>0</v>
          </cell>
          <cell r="K1334">
            <v>0</v>
          </cell>
        </row>
        <row r="1335">
          <cell r="A1335">
            <v>0</v>
          </cell>
          <cell r="K1335">
            <v>0</v>
          </cell>
        </row>
        <row r="1336">
          <cell r="A1336">
            <v>0</v>
          </cell>
          <cell r="K1336">
            <v>0</v>
          </cell>
        </row>
        <row r="1337">
          <cell r="A1337">
            <v>0</v>
          </cell>
          <cell r="K1337">
            <v>0</v>
          </cell>
        </row>
        <row r="1338">
          <cell r="A1338">
            <v>0</v>
          </cell>
          <cell r="K1338">
            <v>0</v>
          </cell>
        </row>
        <row r="1339">
          <cell r="A1339">
            <v>0</v>
          </cell>
          <cell r="K1339">
            <v>0</v>
          </cell>
        </row>
        <row r="1340">
          <cell r="A1340">
            <v>0</v>
          </cell>
          <cell r="K1340">
            <v>0</v>
          </cell>
        </row>
        <row r="1341">
          <cell r="A1341">
            <v>0</v>
          </cell>
          <cell r="K1341">
            <v>0</v>
          </cell>
        </row>
        <row r="1342">
          <cell r="A1342">
            <v>0</v>
          </cell>
          <cell r="K1342">
            <v>0</v>
          </cell>
        </row>
        <row r="1343">
          <cell r="A1343">
            <v>0</v>
          </cell>
          <cell r="K1343">
            <v>0</v>
          </cell>
        </row>
        <row r="1344">
          <cell r="A1344">
            <v>0</v>
          </cell>
          <cell r="K1344">
            <v>0</v>
          </cell>
        </row>
        <row r="1345">
          <cell r="A1345">
            <v>0</v>
          </cell>
          <cell r="K1345">
            <v>0</v>
          </cell>
        </row>
        <row r="1346">
          <cell r="A1346">
            <v>0</v>
          </cell>
          <cell r="K1346">
            <v>0</v>
          </cell>
        </row>
        <row r="1347">
          <cell r="A1347">
            <v>0</v>
          </cell>
          <cell r="K1347">
            <v>0</v>
          </cell>
        </row>
        <row r="1348">
          <cell r="A1348">
            <v>0</v>
          </cell>
          <cell r="K1348">
            <v>0</v>
          </cell>
        </row>
        <row r="1349">
          <cell r="A1349">
            <v>0</v>
          </cell>
          <cell r="K1349">
            <v>0</v>
          </cell>
        </row>
        <row r="1350">
          <cell r="A1350">
            <v>0</v>
          </cell>
          <cell r="K1350">
            <v>0</v>
          </cell>
        </row>
        <row r="1351">
          <cell r="A1351">
            <v>0</v>
          </cell>
          <cell r="K1351">
            <v>0</v>
          </cell>
        </row>
        <row r="1352">
          <cell r="A1352">
            <v>0</v>
          </cell>
          <cell r="K1352">
            <v>0</v>
          </cell>
        </row>
        <row r="1353">
          <cell r="A1353">
            <v>0</v>
          </cell>
          <cell r="K1353">
            <v>0</v>
          </cell>
        </row>
        <row r="1354">
          <cell r="A1354">
            <v>0</v>
          </cell>
          <cell r="K1354">
            <v>0</v>
          </cell>
        </row>
        <row r="1355">
          <cell r="A1355">
            <v>0</v>
          </cell>
          <cell r="K1355">
            <v>0</v>
          </cell>
        </row>
        <row r="1356">
          <cell r="A1356">
            <v>0</v>
          </cell>
          <cell r="K1356">
            <v>0</v>
          </cell>
        </row>
        <row r="1357">
          <cell r="A1357">
            <v>0</v>
          </cell>
          <cell r="K1357">
            <v>0</v>
          </cell>
        </row>
        <row r="1358">
          <cell r="A1358">
            <v>0</v>
          </cell>
          <cell r="K1358">
            <v>0</v>
          </cell>
        </row>
        <row r="1359">
          <cell r="A1359">
            <v>0</v>
          </cell>
          <cell r="K1359">
            <v>0</v>
          </cell>
        </row>
        <row r="1360">
          <cell r="A1360">
            <v>0</v>
          </cell>
          <cell r="K1360">
            <v>0</v>
          </cell>
        </row>
        <row r="1361">
          <cell r="A1361">
            <v>0</v>
          </cell>
          <cell r="K1361">
            <v>0</v>
          </cell>
        </row>
        <row r="1362">
          <cell r="A1362">
            <v>0</v>
          </cell>
          <cell r="K1362">
            <v>0</v>
          </cell>
        </row>
        <row r="1363">
          <cell r="A1363">
            <v>0</v>
          </cell>
          <cell r="K1363">
            <v>0</v>
          </cell>
        </row>
        <row r="1364">
          <cell r="A1364">
            <v>0</v>
          </cell>
          <cell r="K1364">
            <v>0</v>
          </cell>
        </row>
        <row r="1365">
          <cell r="A1365">
            <v>0</v>
          </cell>
          <cell r="K1365">
            <v>0</v>
          </cell>
        </row>
        <row r="1366">
          <cell r="A1366">
            <v>0</v>
          </cell>
          <cell r="K1366">
            <v>0</v>
          </cell>
        </row>
        <row r="1367">
          <cell r="A1367">
            <v>0</v>
          </cell>
          <cell r="K1367">
            <v>0</v>
          </cell>
        </row>
        <row r="1368">
          <cell r="A1368">
            <v>0</v>
          </cell>
          <cell r="K1368">
            <v>0</v>
          </cell>
        </row>
        <row r="1369">
          <cell r="A1369">
            <v>0</v>
          </cell>
          <cell r="K1369">
            <v>0</v>
          </cell>
        </row>
        <row r="1370">
          <cell r="A1370">
            <v>0</v>
          </cell>
          <cell r="K1370">
            <v>0</v>
          </cell>
        </row>
        <row r="1371">
          <cell r="A1371">
            <v>0</v>
          </cell>
          <cell r="K1371">
            <v>0</v>
          </cell>
        </row>
        <row r="1372">
          <cell r="A1372">
            <v>0</v>
          </cell>
          <cell r="K1372">
            <v>0</v>
          </cell>
        </row>
        <row r="1373">
          <cell r="A1373">
            <v>0</v>
          </cell>
          <cell r="K1373">
            <v>0</v>
          </cell>
        </row>
        <row r="1374">
          <cell r="A1374">
            <v>0</v>
          </cell>
          <cell r="K1374">
            <v>0</v>
          </cell>
        </row>
        <row r="1375">
          <cell r="A1375">
            <v>0</v>
          </cell>
          <cell r="K1375">
            <v>0</v>
          </cell>
        </row>
        <row r="1376">
          <cell r="A1376">
            <v>0</v>
          </cell>
          <cell r="K1376">
            <v>0</v>
          </cell>
        </row>
        <row r="1377">
          <cell r="A1377">
            <v>0</v>
          </cell>
          <cell r="K1377">
            <v>0</v>
          </cell>
        </row>
        <row r="1378">
          <cell r="A1378">
            <v>0</v>
          </cell>
          <cell r="K1378">
            <v>0</v>
          </cell>
        </row>
        <row r="1379">
          <cell r="A1379">
            <v>0</v>
          </cell>
          <cell r="K1379">
            <v>0</v>
          </cell>
        </row>
        <row r="1380">
          <cell r="A1380">
            <v>0</v>
          </cell>
          <cell r="K1380">
            <v>0</v>
          </cell>
        </row>
        <row r="1381">
          <cell r="A1381">
            <v>0</v>
          </cell>
          <cell r="K1381">
            <v>0</v>
          </cell>
        </row>
        <row r="1382">
          <cell r="A1382">
            <v>0</v>
          </cell>
          <cell r="K1382">
            <v>0</v>
          </cell>
        </row>
        <row r="1383">
          <cell r="A1383">
            <v>0</v>
          </cell>
          <cell r="K1383">
            <v>0</v>
          </cell>
        </row>
        <row r="1384">
          <cell r="A1384">
            <v>0</v>
          </cell>
          <cell r="K1384">
            <v>0</v>
          </cell>
        </row>
        <row r="1385">
          <cell r="A1385">
            <v>0</v>
          </cell>
          <cell r="K1385">
            <v>0</v>
          </cell>
        </row>
        <row r="1386">
          <cell r="A1386">
            <v>0</v>
          </cell>
          <cell r="K1386">
            <v>0</v>
          </cell>
        </row>
        <row r="1387">
          <cell r="A1387">
            <v>0</v>
          </cell>
          <cell r="K1387">
            <v>0</v>
          </cell>
        </row>
        <row r="1388">
          <cell r="A1388">
            <v>0</v>
          </cell>
          <cell r="K1388">
            <v>0</v>
          </cell>
        </row>
        <row r="1389">
          <cell r="A1389">
            <v>0</v>
          </cell>
          <cell r="K1389">
            <v>0</v>
          </cell>
        </row>
        <row r="1390">
          <cell r="A1390">
            <v>0</v>
          </cell>
          <cell r="K1390">
            <v>0</v>
          </cell>
        </row>
        <row r="1391">
          <cell r="A1391">
            <v>0</v>
          </cell>
          <cell r="K1391">
            <v>0</v>
          </cell>
        </row>
        <row r="1392">
          <cell r="A1392">
            <v>0</v>
          </cell>
          <cell r="K1392">
            <v>0</v>
          </cell>
        </row>
        <row r="1393">
          <cell r="A1393">
            <v>0</v>
          </cell>
          <cell r="K1393">
            <v>0</v>
          </cell>
        </row>
        <row r="1394">
          <cell r="A1394">
            <v>0</v>
          </cell>
          <cell r="K1394">
            <v>0</v>
          </cell>
        </row>
        <row r="1395">
          <cell r="A1395">
            <v>0</v>
          </cell>
          <cell r="K1395">
            <v>0</v>
          </cell>
        </row>
        <row r="1396">
          <cell r="A1396">
            <v>0</v>
          </cell>
          <cell r="K1396">
            <v>0</v>
          </cell>
        </row>
        <row r="1397">
          <cell r="A1397">
            <v>0</v>
          </cell>
          <cell r="K1397">
            <v>0</v>
          </cell>
        </row>
        <row r="1398">
          <cell r="A1398">
            <v>0</v>
          </cell>
          <cell r="K1398">
            <v>0</v>
          </cell>
        </row>
        <row r="1399">
          <cell r="A1399">
            <v>0</v>
          </cell>
          <cell r="K1399">
            <v>0</v>
          </cell>
        </row>
        <row r="1400">
          <cell r="A1400">
            <v>0</v>
          </cell>
          <cell r="K1400">
            <v>0</v>
          </cell>
        </row>
        <row r="1401">
          <cell r="A1401">
            <v>0</v>
          </cell>
          <cell r="K1401">
            <v>0</v>
          </cell>
        </row>
        <row r="1402">
          <cell r="A1402">
            <v>0</v>
          </cell>
          <cell r="K1402">
            <v>0</v>
          </cell>
        </row>
        <row r="1403">
          <cell r="A1403">
            <v>0</v>
          </cell>
          <cell r="K1403">
            <v>0</v>
          </cell>
        </row>
        <row r="1404">
          <cell r="A1404">
            <v>0</v>
          </cell>
          <cell r="K1404">
            <v>0</v>
          </cell>
        </row>
        <row r="1405">
          <cell r="A1405">
            <v>0</v>
          </cell>
          <cell r="K1405">
            <v>0</v>
          </cell>
        </row>
        <row r="1406">
          <cell r="A1406">
            <v>0</v>
          </cell>
          <cell r="K1406">
            <v>0</v>
          </cell>
        </row>
        <row r="1407">
          <cell r="A1407">
            <v>0</v>
          </cell>
          <cell r="K1407">
            <v>0</v>
          </cell>
        </row>
        <row r="1408">
          <cell r="A1408">
            <v>0</v>
          </cell>
          <cell r="K1408">
            <v>0</v>
          </cell>
        </row>
        <row r="1409">
          <cell r="A1409">
            <v>0</v>
          </cell>
          <cell r="K1409">
            <v>0</v>
          </cell>
        </row>
        <row r="1410">
          <cell r="A1410">
            <v>0</v>
          </cell>
          <cell r="K1410">
            <v>0</v>
          </cell>
        </row>
        <row r="1411">
          <cell r="A1411">
            <v>0</v>
          </cell>
          <cell r="K1411">
            <v>0</v>
          </cell>
        </row>
        <row r="1412">
          <cell r="A1412">
            <v>0</v>
          </cell>
          <cell r="K1412">
            <v>0</v>
          </cell>
        </row>
        <row r="1413">
          <cell r="A1413">
            <v>0</v>
          </cell>
          <cell r="K1413">
            <v>0</v>
          </cell>
        </row>
        <row r="1414">
          <cell r="A1414">
            <v>0</v>
          </cell>
          <cell r="K1414">
            <v>0</v>
          </cell>
        </row>
        <row r="1415">
          <cell r="A1415">
            <v>0</v>
          </cell>
          <cell r="K1415">
            <v>0</v>
          </cell>
        </row>
        <row r="1416">
          <cell r="A1416">
            <v>0</v>
          </cell>
          <cell r="K1416">
            <v>0</v>
          </cell>
        </row>
        <row r="1417">
          <cell r="A1417">
            <v>0</v>
          </cell>
          <cell r="K1417">
            <v>0</v>
          </cell>
        </row>
        <row r="1418">
          <cell r="A1418">
            <v>0</v>
          </cell>
          <cell r="K1418">
            <v>0</v>
          </cell>
        </row>
        <row r="1419">
          <cell r="A1419">
            <v>0</v>
          </cell>
          <cell r="K1419">
            <v>0</v>
          </cell>
        </row>
        <row r="1420">
          <cell r="A1420">
            <v>0</v>
          </cell>
          <cell r="K1420">
            <v>0</v>
          </cell>
        </row>
        <row r="1421">
          <cell r="A1421">
            <v>0</v>
          </cell>
          <cell r="K1421">
            <v>0</v>
          </cell>
        </row>
        <row r="1422">
          <cell r="A1422">
            <v>0</v>
          </cell>
          <cell r="K1422">
            <v>0</v>
          </cell>
        </row>
        <row r="1423">
          <cell r="A1423">
            <v>0</v>
          </cell>
          <cell r="K1423">
            <v>0</v>
          </cell>
        </row>
        <row r="1424">
          <cell r="A1424">
            <v>0</v>
          </cell>
          <cell r="K1424">
            <v>0</v>
          </cell>
        </row>
        <row r="1425">
          <cell r="A1425">
            <v>0</v>
          </cell>
          <cell r="K1425">
            <v>0</v>
          </cell>
        </row>
        <row r="1426">
          <cell r="A1426">
            <v>0</v>
          </cell>
          <cell r="K1426">
            <v>0</v>
          </cell>
        </row>
        <row r="1427">
          <cell r="A1427">
            <v>0</v>
          </cell>
          <cell r="K1427">
            <v>0</v>
          </cell>
        </row>
        <row r="1428">
          <cell r="A1428">
            <v>0</v>
          </cell>
          <cell r="K1428">
            <v>0</v>
          </cell>
        </row>
        <row r="1429">
          <cell r="A1429">
            <v>0</v>
          </cell>
          <cell r="K1429">
            <v>0</v>
          </cell>
        </row>
        <row r="1430">
          <cell r="A1430">
            <v>0</v>
          </cell>
          <cell r="K1430">
            <v>0</v>
          </cell>
        </row>
        <row r="1431">
          <cell r="A1431">
            <v>0</v>
          </cell>
          <cell r="K1431">
            <v>0</v>
          </cell>
        </row>
        <row r="1432">
          <cell r="A1432">
            <v>0</v>
          </cell>
          <cell r="K1432">
            <v>0</v>
          </cell>
        </row>
        <row r="1433">
          <cell r="A1433">
            <v>0</v>
          </cell>
          <cell r="K1433">
            <v>0</v>
          </cell>
        </row>
        <row r="1434">
          <cell r="A1434">
            <v>0</v>
          </cell>
          <cell r="K1434">
            <v>0</v>
          </cell>
        </row>
        <row r="1435">
          <cell r="A1435">
            <v>0</v>
          </cell>
          <cell r="K1435">
            <v>0</v>
          </cell>
        </row>
        <row r="1436">
          <cell r="A1436">
            <v>0</v>
          </cell>
          <cell r="K1436">
            <v>0</v>
          </cell>
        </row>
        <row r="1437">
          <cell r="A1437">
            <v>0</v>
          </cell>
          <cell r="K1437">
            <v>0</v>
          </cell>
        </row>
        <row r="1438">
          <cell r="A1438">
            <v>0</v>
          </cell>
          <cell r="K1438">
            <v>0</v>
          </cell>
        </row>
        <row r="1439">
          <cell r="A1439">
            <v>0</v>
          </cell>
          <cell r="K1439">
            <v>0</v>
          </cell>
        </row>
        <row r="1440">
          <cell r="A1440">
            <v>0</v>
          </cell>
          <cell r="K1440">
            <v>0</v>
          </cell>
        </row>
        <row r="1441">
          <cell r="A1441">
            <v>0</v>
          </cell>
          <cell r="K1441">
            <v>0</v>
          </cell>
        </row>
        <row r="1442">
          <cell r="A1442">
            <v>0</v>
          </cell>
          <cell r="K1442">
            <v>0</v>
          </cell>
        </row>
        <row r="1443">
          <cell r="A1443">
            <v>0</v>
          </cell>
          <cell r="K1443">
            <v>0</v>
          </cell>
        </row>
        <row r="1444">
          <cell r="A1444">
            <v>0</v>
          </cell>
          <cell r="K1444">
            <v>0</v>
          </cell>
        </row>
        <row r="1445">
          <cell r="A1445">
            <v>0</v>
          </cell>
          <cell r="K1445">
            <v>0</v>
          </cell>
        </row>
        <row r="1446">
          <cell r="A1446">
            <v>0</v>
          </cell>
          <cell r="K1446">
            <v>0</v>
          </cell>
        </row>
        <row r="1447">
          <cell r="A1447">
            <v>0</v>
          </cell>
          <cell r="K1447">
            <v>0</v>
          </cell>
        </row>
        <row r="1448">
          <cell r="A1448">
            <v>0</v>
          </cell>
          <cell r="K1448">
            <v>0</v>
          </cell>
        </row>
        <row r="1449">
          <cell r="A1449">
            <v>0</v>
          </cell>
          <cell r="K1449">
            <v>0</v>
          </cell>
        </row>
        <row r="1450">
          <cell r="A1450">
            <v>0</v>
          </cell>
          <cell r="K1450">
            <v>0</v>
          </cell>
        </row>
        <row r="1451">
          <cell r="A1451">
            <v>0</v>
          </cell>
          <cell r="K1451">
            <v>0</v>
          </cell>
        </row>
        <row r="1452">
          <cell r="A1452">
            <v>0</v>
          </cell>
          <cell r="K1452">
            <v>0</v>
          </cell>
        </row>
        <row r="1453">
          <cell r="A1453">
            <v>0</v>
          </cell>
          <cell r="K1453">
            <v>0</v>
          </cell>
        </row>
        <row r="1454">
          <cell r="A1454">
            <v>0</v>
          </cell>
          <cell r="K1454">
            <v>0</v>
          </cell>
        </row>
        <row r="1455">
          <cell r="A1455">
            <v>0</v>
          </cell>
          <cell r="K1455">
            <v>0</v>
          </cell>
        </row>
        <row r="1456">
          <cell r="A1456">
            <v>0</v>
          </cell>
          <cell r="K1456">
            <v>0</v>
          </cell>
        </row>
        <row r="1457">
          <cell r="A1457">
            <v>0</v>
          </cell>
          <cell r="K1457">
            <v>0</v>
          </cell>
        </row>
        <row r="1458">
          <cell r="A1458">
            <v>0</v>
          </cell>
          <cell r="K1458">
            <v>0</v>
          </cell>
        </row>
        <row r="1459">
          <cell r="A1459">
            <v>0</v>
          </cell>
          <cell r="K1459">
            <v>0</v>
          </cell>
        </row>
        <row r="1460">
          <cell r="A1460">
            <v>0</v>
          </cell>
          <cell r="K1460">
            <v>0</v>
          </cell>
        </row>
        <row r="1461">
          <cell r="A1461">
            <v>0</v>
          </cell>
          <cell r="K1461">
            <v>0</v>
          </cell>
        </row>
        <row r="1462">
          <cell r="A1462">
            <v>0</v>
          </cell>
          <cell r="K1462">
            <v>0</v>
          </cell>
        </row>
        <row r="1463">
          <cell r="A1463">
            <v>0</v>
          </cell>
          <cell r="K1463">
            <v>0</v>
          </cell>
        </row>
        <row r="1464">
          <cell r="A1464">
            <v>0</v>
          </cell>
          <cell r="K1464">
            <v>0</v>
          </cell>
        </row>
        <row r="1465">
          <cell r="A1465">
            <v>0</v>
          </cell>
          <cell r="K1465">
            <v>0</v>
          </cell>
        </row>
        <row r="1466">
          <cell r="A1466">
            <v>0</v>
          </cell>
          <cell r="K1466">
            <v>0</v>
          </cell>
        </row>
        <row r="1467">
          <cell r="A1467">
            <v>0</v>
          </cell>
          <cell r="K1467">
            <v>0</v>
          </cell>
        </row>
        <row r="1468">
          <cell r="A1468">
            <v>0</v>
          </cell>
          <cell r="K1468">
            <v>0</v>
          </cell>
        </row>
        <row r="1469">
          <cell r="A1469">
            <v>0</v>
          </cell>
          <cell r="K1469">
            <v>0</v>
          </cell>
        </row>
        <row r="1470">
          <cell r="A1470">
            <v>0</v>
          </cell>
          <cell r="K1470">
            <v>0</v>
          </cell>
        </row>
        <row r="1471">
          <cell r="A1471">
            <v>0</v>
          </cell>
          <cell r="K1471">
            <v>0</v>
          </cell>
        </row>
        <row r="1472">
          <cell r="A1472">
            <v>0</v>
          </cell>
          <cell r="K1472">
            <v>0</v>
          </cell>
        </row>
        <row r="1473">
          <cell r="A1473">
            <v>0</v>
          </cell>
          <cell r="K1473">
            <v>0</v>
          </cell>
        </row>
        <row r="1474">
          <cell r="A1474">
            <v>0</v>
          </cell>
          <cell r="K1474">
            <v>0</v>
          </cell>
        </row>
        <row r="1475">
          <cell r="A1475">
            <v>0</v>
          </cell>
          <cell r="K1475">
            <v>0</v>
          </cell>
        </row>
        <row r="1476">
          <cell r="A1476">
            <v>0</v>
          </cell>
          <cell r="K1476">
            <v>0</v>
          </cell>
        </row>
        <row r="1477">
          <cell r="A1477">
            <v>0</v>
          </cell>
          <cell r="K1477">
            <v>0</v>
          </cell>
        </row>
        <row r="1478">
          <cell r="A1478">
            <v>0</v>
          </cell>
          <cell r="K1478">
            <v>0</v>
          </cell>
        </row>
        <row r="1479">
          <cell r="A1479">
            <v>0</v>
          </cell>
          <cell r="K1479">
            <v>0</v>
          </cell>
        </row>
        <row r="1480">
          <cell r="A1480">
            <v>0</v>
          </cell>
          <cell r="K1480">
            <v>0</v>
          </cell>
        </row>
        <row r="1481">
          <cell r="A1481">
            <v>0</v>
          </cell>
          <cell r="K1481">
            <v>0</v>
          </cell>
        </row>
        <row r="1482">
          <cell r="A1482">
            <v>0</v>
          </cell>
          <cell r="K1482">
            <v>0</v>
          </cell>
        </row>
        <row r="1483">
          <cell r="A1483">
            <v>0</v>
          </cell>
          <cell r="K1483">
            <v>0</v>
          </cell>
        </row>
        <row r="1484">
          <cell r="A1484">
            <v>0</v>
          </cell>
          <cell r="K1484">
            <v>0</v>
          </cell>
        </row>
        <row r="1485">
          <cell r="A1485">
            <v>0</v>
          </cell>
          <cell r="K1485">
            <v>0</v>
          </cell>
        </row>
        <row r="1486">
          <cell r="A1486">
            <v>0</v>
          </cell>
          <cell r="K1486">
            <v>0</v>
          </cell>
        </row>
        <row r="1487">
          <cell r="A1487">
            <v>0</v>
          </cell>
          <cell r="K1487">
            <v>0</v>
          </cell>
        </row>
        <row r="1488">
          <cell r="A1488">
            <v>0</v>
          </cell>
          <cell r="K1488">
            <v>0</v>
          </cell>
        </row>
        <row r="1489">
          <cell r="A1489">
            <v>0</v>
          </cell>
          <cell r="K1489">
            <v>0</v>
          </cell>
        </row>
        <row r="1490">
          <cell r="A1490">
            <v>0</v>
          </cell>
          <cell r="K1490">
            <v>0</v>
          </cell>
        </row>
        <row r="1491">
          <cell r="A1491">
            <v>0</v>
          </cell>
          <cell r="K1491">
            <v>0</v>
          </cell>
        </row>
        <row r="1492">
          <cell r="A1492">
            <v>0</v>
          </cell>
          <cell r="K1492">
            <v>0</v>
          </cell>
        </row>
        <row r="1493">
          <cell r="A1493">
            <v>0</v>
          </cell>
          <cell r="K1493">
            <v>0</v>
          </cell>
        </row>
        <row r="1494">
          <cell r="A1494">
            <v>0</v>
          </cell>
          <cell r="K1494">
            <v>0</v>
          </cell>
        </row>
        <row r="1495">
          <cell r="A1495">
            <v>0</v>
          </cell>
          <cell r="K1495">
            <v>0</v>
          </cell>
        </row>
        <row r="1496">
          <cell r="A1496">
            <v>0</v>
          </cell>
          <cell r="K1496">
            <v>0</v>
          </cell>
        </row>
        <row r="1497">
          <cell r="A1497">
            <v>0</v>
          </cell>
          <cell r="K1497">
            <v>0</v>
          </cell>
        </row>
        <row r="1498">
          <cell r="A1498">
            <v>0</v>
          </cell>
          <cell r="K1498">
            <v>0</v>
          </cell>
        </row>
        <row r="1499">
          <cell r="A1499">
            <v>0</v>
          </cell>
          <cell r="K1499">
            <v>0</v>
          </cell>
        </row>
        <row r="1500">
          <cell r="A1500">
            <v>0</v>
          </cell>
          <cell r="K1500">
            <v>0</v>
          </cell>
        </row>
        <row r="1501">
          <cell r="A1501">
            <v>0</v>
          </cell>
          <cell r="K1501">
            <v>0</v>
          </cell>
        </row>
        <row r="1502">
          <cell r="A1502">
            <v>0</v>
          </cell>
          <cell r="K1502">
            <v>0</v>
          </cell>
        </row>
        <row r="1503">
          <cell r="A1503">
            <v>0</v>
          </cell>
          <cell r="K1503">
            <v>0</v>
          </cell>
        </row>
        <row r="1504">
          <cell r="A1504">
            <v>0</v>
          </cell>
          <cell r="K1504">
            <v>0</v>
          </cell>
        </row>
        <row r="1505">
          <cell r="A1505">
            <v>0</v>
          </cell>
          <cell r="K1505">
            <v>0</v>
          </cell>
        </row>
        <row r="1506">
          <cell r="A1506">
            <v>0</v>
          </cell>
          <cell r="K1506">
            <v>0</v>
          </cell>
        </row>
        <row r="1507">
          <cell r="A1507">
            <v>0</v>
          </cell>
          <cell r="K1507">
            <v>0</v>
          </cell>
        </row>
        <row r="1508">
          <cell r="A1508">
            <v>0</v>
          </cell>
          <cell r="K1508">
            <v>0</v>
          </cell>
        </row>
        <row r="1509">
          <cell r="A1509">
            <v>0</v>
          </cell>
          <cell r="K1509">
            <v>0</v>
          </cell>
        </row>
        <row r="1510">
          <cell r="A1510">
            <v>0</v>
          </cell>
          <cell r="K1510">
            <v>0</v>
          </cell>
        </row>
        <row r="1511">
          <cell r="A1511">
            <v>0</v>
          </cell>
          <cell r="K1511">
            <v>0</v>
          </cell>
        </row>
        <row r="1512">
          <cell r="A1512">
            <v>0</v>
          </cell>
          <cell r="K1512">
            <v>0</v>
          </cell>
        </row>
        <row r="1513">
          <cell r="A1513">
            <v>0</v>
          </cell>
          <cell r="K1513">
            <v>0</v>
          </cell>
        </row>
        <row r="1514">
          <cell r="A1514">
            <v>0</v>
          </cell>
          <cell r="K1514">
            <v>0</v>
          </cell>
        </row>
        <row r="1515">
          <cell r="A1515">
            <v>0</v>
          </cell>
          <cell r="K1515">
            <v>0</v>
          </cell>
        </row>
        <row r="1516">
          <cell r="A1516">
            <v>0</v>
          </cell>
          <cell r="K1516">
            <v>0</v>
          </cell>
        </row>
        <row r="1517">
          <cell r="A1517">
            <v>0</v>
          </cell>
          <cell r="K1517">
            <v>0</v>
          </cell>
        </row>
        <row r="1518">
          <cell r="A1518">
            <v>0</v>
          </cell>
          <cell r="K1518">
            <v>0</v>
          </cell>
        </row>
        <row r="1519">
          <cell r="A1519">
            <v>0</v>
          </cell>
          <cell r="K1519">
            <v>0</v>
          </cell>
        </row>
        <row r="1520">
          <cell r="A1520">
            <v>0</v>
          </cell>
          <cell r="K1520">
            <v>0</v>
          </cell>
        </row>
        <row r="1521">
          <cell r="A1521">
            <v>0</v>
          </cell>
          <cell r="K1521">
            <v>0</v>
          </cell>
        </row>
        <row r="1522">
          <cell r="A1522">
            <v>0</v>
          </cell>
          <cell r="K1522">
            <v>0</v>
          </cell>
        </row>
        <row r="1523">
          <cell r="A1523">
            <v>0</v>
          </cell>
          <cell r="K1523">
            <v>0</v>
          </cell>
        </row>
        <row r="1524">
          <cell r="A1524">
            <v>0</v>
          </cell>
          <cell r="K1524">
            <v>0</v>
          </cell>
        </row>
        <row r="1525">
          <cell r="A1525">
            <v>0</v>
          </cell>
          <cell r="K1525">
            <v>0</v>
          </cell>
        </row>
        <row r="1526">
          <cell r="A1526">
            <v>0</v>
          </cell>
          <cell r="K1526">
            <v>0</v>
          </cell>
        </row>
        <row r="1527">
          <cell r="A1527">
            <v>0</v>
          </cell>
          <cell r="K1527">
            <v>0</v>
          </cell>
        </row>
        <row r="1528">
          <cell r="A1528">
            <v>0</v>
          </cell>
          <cell r="K1528">
            <v>0</v>
          </cell>
        </row>
        <row r="1529">
          <cell r="A1529">
            <v>0</v>
          </cell>
          <cell r="K1529">
            <v>0</v>
          </cell>
        </row>
        <row r="1530">
          <cell r="A1530">
            <v>0</v>
          </cell>
          <cell r="K1530">
            <v>0</v>
          </cell>
        </row>
        <row r="1531">
          <cell r="A1531">
            <v>0</v>
          </cell>
          <cell r="K1531">
            <v>0</v>
          </cell>
        </row>
        <row r="1532">
          <cell r="A1532">
            <v>0</v>
          </cell>
          <cell r="K1532">
            <v>0</v>
          </cell>
        </row>
        <row r="1533">
          <cell r="A1533">
            <v>0</v>
          </cell>
          <cell r="K1533">
            <v>0</v>
          </cell>
        </row>
        <row r="1534">
          <cell r="A1534">
            <v>0</v>
          </cell>
          <cell r="K1534">
            <v>0</v>
          </cell>
        </row>
        <row r="1535">
          <cell r="A1535">
            <v>0</v>
          </cell>
          <cell r="K1535">
            <v>0</v>
          </cell>
        </row>
        <row r="1536">
          <cell r="A1536">
            <v>0</v>
          </cell>
          <cell r="K1536">
            <v>0</v>
          </cell>
        </row>
        <row r="1537">
          <cell r="A1537">
            <v>0</v>
          </cell>
          <cell r="K1537">
            <v>0</v>
          </cell>
        </row>
        <row r="1538">
          <cell r="A1538">
            <v>0</v>
          </cell>
          <cell r="K1538">
            <v>0</v>
          </cell>
        </row>
        <row r="1539">
          <cell r="A1539">
            <v>0</v>
          </cell>
          <cell r="K1539">
            <v>0</v>
          </cell>
        </row>
        <row r="1540">
          <cell r="A1540">
            <v>0</v>
          </cell>
          <cell r="K1540">
            <v>0</v>
          </cell>
        </row>
        <row r="1541">
          <cell r="A1541">
            <v>0</v>
          </cell>
          <cell r="K1541">
            <v>0</v>
          </cell>
        </row>
        <row r="1542">
          <cell r="A1542">
            <v>0</v>
          </cell>
          <cell r="K1542">
            <v>0</v>
          </cell>
        </row>
        <row r="1543">
          <cell r="A1543">
            <v>0</v>
          </cell>
          <cell r="K1543">
            <v>0</v>
          </cell>
        </row>
        <row r="1544">
          <cell r="A1544">
            <v>0</v>
          </cell>
          <cell r="K1544">
            <v>0</v>
          </cell>
        </row>
        <row r="1545">
          <cell r="A1545">
            <v>0</v>
          </cell>
          <cell r="K1545">
            <v>0</v>
          </cell>
        </row>
        <row r="1546">
          <cell r="A1546">
            <v>0</v>
          </cell>
          <cell r="K1546">
            <v>0</v>
          </cell>
        </row>
        <row r="1547">
          <cell r="A1547">
            <v>0</v>
          </cell>
          <cell r="K1547">
            <v>0</v>
          </cell>
        </row>
        <row r="1548">
          <cell r="A1548">
            <v>0</v>
          </cell>
          <cell r="K1548">
            <v>0</v>
          </cell>
        </row>
        <row r="1549">
          <cell r="A1549">
            <v>0</v>
          </cell>
          <cell r="K1549">
            <v>0</v>
          </cell>
        </row>
        <row r="1550">
          <cell r="A1550">
            <v>0</v>
          </cell>
          <cell r="K1550">
            <v>0</v>
          </cell>
        </row>
        <row r="1551">
          <cell r="A1551">
            <v>0</v>
          </cell>
          <cell r="K1551">
            <v>0</v>
          </cell>
        </row>
        <row r="1552">
          <cell r="A1552">
            <v>0</v>
          </cell>
          <cell r="K1552">
            <v>0</v>
          </cell>
        </row>
        <row r="1553">
          <cell r="A1553">
            <v>0</v>
          </cell>
          <cell r="K1553">
            <v>0</v>
          </cell>
        </row>
        <row r="1554">
          <cell r="A1554">
            <v>0</v>
          </cell>
          <cell r="K1554">
            <v>0</v>
          </cell>
        </row>
        <row r="1555">
          <cell r="A1555">
            <v>0</v>
          </cell>
          <cell r="K1555">
            <v>0</v>
          </cell>
        </row>
        <row r="1556">
          <cell r="A1556">
            <v>0</v>
          </cell>
          <cell r="K1556">
            <v>0</v>
          </cell>
        </row>
        <row r="1557">
          <cell r="A1557">
            <v>0</v>
          </cell>
          <cell r="K1557">
            <v>0</v>
          </cell>
        </row>
        <row r="1558">
          <cell r="A1558">
            <v>0</v>
          </cell>
          <cell r="K1558">
            <v>0</v>
          </cell>
        </row>
        <row r="1559">
          <cell r="A1559">
            <v>0</v>
          </cell>
          <cell r="K1559">
            <v>0</v>
          </cell>
        </row>
        <row r="1560">
          <cell r="A1560">
            <v>0</v>
          </cell>
          <cell r="K1560">
            <v>0</v>
          </cell>
        </row>
        <row r="1561">
          <cell r="A1561">
            <v>0</v>
          </cell>
          <cell r="K1561">
            <v>0</v>
          </cell>
        </row>
        <row r="1562">
          <cell r="A1562">
            <v>0</v>
          </cell>
          <cell r="K1562">
            <v>0</v>
          </cell>
        </row>
        <row r="1563">
          <cell r="A1563">
            <v>0</v>
          </cell>
          <cell r="K1563">
            <v>0</v>
          </cell>
        </row>
        <row r="1564">
          <cell r="A1564">
            <v>0</v>
          </cell>
          <cell r="K1564">
            <v>0</v>
          </cell>
        </row>
        <row r="1565">
          <cell r="A1565">
            <v>0</v>
          </cell>
          <cell r="K1565">
            <v>0</v>
          </cell>
        </row>
        <row r="1566">
          <cell r="A1566">
            <v>0</v>
          </cell>
          <cell r="K1566">
            <v>0</v>
          </cell>
        </row>
        <row r="1567">
          <cell r="A1567">
            <v>0</v>
          </cell>
          <cell r="K1567">
            <v>0</v>
          </cell>
        </row>
        <row r="1568">
          <cell r="A1568">
            <v>0</v>
          </cell>
          <cell r="K1568">
            <v>0</v>
          </cell>
        </row>
        <row r="1569">
          <cell r="A1569">
            <v>0</v>
          </cell>
          <cell r="K1569">
            <v>0</v>
          </cell>
        </row>
        <row r="1570">
          <cell r="A1570">
            <v>0</v>
          </cell>
          <cell r="K1570">
            <v>0</v>
          </cell>
        </row>
        <row r="1571">
          <cell r="A1571">
            <v>0</v>
          </cell>
          <cell r="K1571">
            <v>0</v>
          </cell>
        </row>
        <row r="1572">
          <cell r="A1572">
            <v>0</v>
          </cell>
          <cell r="K1572">
            <v>0</v>
          </cell>
        </row>
        <row r="1573">
          <cell r="A1573">
            <v>0</v>
          </cell>
          <cell r="K1573">
            <v>0</v>
          </cell>
        </row>
        <row r="1574">
          <cell r="A1574">
            <v>0</v>
          </cell>
          <cell r="K1574">
            <v>0</v>
          </cell>
        </row>
        <row r="1575">
          <cell r="A1575">
            <v>0</v>
          </cell>
          <cell r="K1575">
            <v>0</v>
          </cell>
        </row>
        <row r="1576">
          <cell r="A1576">
            <v>0</v>
          </cell>
          <cell r="K1576">
            <v>0</v>
          </cell>
        </row>
        <row r="1577">
          <cell r="A1577">
            <v>0</v>
          </cell>
          <cell r="K1577">
            <v>0</v>
          </cell>
        </row>
        <row r="1578">
          <cell r="A1578">
            <v>0</v>
          </cell>
          <cell r="K1578">
            <v>0</v>
          </cell>
        </row>
        <row r="1579">
          <cell r="A1579">
            <v>0</v>
          </cell>
          <cell r="K1579">
            <v>0</v>
          </cell>
        </row>
        <row r="1580">
          <cell r="A1580">
            <v>0</v>
          </cell>
          <cell r="K1580">
            <v>0</v>
          </cell>
        </row>
        <row r="1581">
          <cell r="A1581">
            <v>0</v>
          </cell>
          <cell r="K1581">
            <v>0</v>
          </cell>
        </row>
        <row r="1582">
          <cell r="A1582">
            <v>0</v>
          </cell>
          <cell r="K1582">
            <v>0</v>
          </cell>
        </row>
        <row r="1583">
          <cell r="A1583">
            <v>0</v>
          </cell>
          <cell r="K1583">
            <v>0</v>
          </cell>
        </row>
        <row r="1584">
          <cell r="A1584">
            <v>0</v>
          </cell>
          <cell r="K1584">
            <v>0</v>
          </cell>
        </row>
        <row r="1585">
          <cell r="A1585">
            <v>0</v>
          </cell>
          <cell r="K1585">
            <v>0</v>
          </cell>
        </row>
        <row r="1586">
          <cell r="A1586">
            <v>0</v>
          </cell>
          <cell r="K1586">
            <v>0</v>
          </cell>
        </row>
        <row r="1587">
          <cell r="A1587">
            <v>0</v>
          </cell>
          <cell r="K1587">
            <v>0</v>
          </cell>
        </row>
        <row r="1588">
          <cell r="A1588">
            <v>0</v>
          </cell>
          <cell r="K1588">
            <v>0</v>
          </cell>
        </row>
        <row r="1589">
          <cell r="A1589">
            <v>0</v>
          </cell>
          <cell r="K1589">
            <v>0</v>
          </cell>
        </row>
        <row r="1590">
          <cell r="A1590">
            <v>0</v>
          </cell>
          <cell r="K1590">
            <v>0</v>
          </cell>
        </row>
        <row r="1591">
          <cell r="A1591">
            <v>0</v>
          </cell>
          <cell r="K1591">
            <v>0</v>
          </cell>
        </row>
        <row r="1592">
          <cell r="A1592">
            <v>0</v>
          </cell>
          <cell r="K1592">
            <v>0</v>
          </cell>
        </row>
        <row r="1593">
          <cell r="A1593">
            <v>0</v>
          </cell>
          <cell r="K1593">
            <v>0</v>
          </cell>
        </row>
        <row r="1594">
          <cell r="A1594">
            <v>0</v>
          </cell>
          <cell r="K1594">
            <v>0</v>
          </cell>
        </row>
        <row r="1595">
          <cell r="A1595">
            <v>0</v>
          </cell>
          <cell r="K1595">
            <v>0</v>
          </cell>
        </row>
        <row r="1596">
          <cell r="A1596">
            <v>0</v>
          </cell>
          <cell r="K1596">
            <v>0</v>
          </cell>
        </row>
        <row r="1597">
          <cell r="A1597">
            <v>0</v>
          </cell>
          <cell r="K1597">
            <v>0</v>
          </cell>
        </row>
        <row r="1598">
          <cell r="A1598">
            <v>0</v>
          </cell>
          <cell r="K1598">
            <v>0</v>
          </cell>
        </row>
        <row r="1599">
          <cell r="A1599">
            <v>0</v>
          </cell>
          <cell r="K1599">
            <v>0</v>
          </cell>
        </row>
        <row r="1600">
          <cell r="A1600">
            <v>0</v>
          </cell>
          <cell r="K1600">
            <v>0</v>
          </cell>
        </row>
        <row r="1601">
          <cell r="A1601">
            <v>0</v>
          </cell>
          <cell r="K1601">
            <v>0</v>
          </cell>
        </row>
        <row r="1602">
          <cell r="A1602">
            <v>0</v>
          </cell>
          <cell r="K1602">
            <v>0</v>
          </cell>
        </row>
        <row r="1603">
          <cell r="A1603">
            <v>0</v>
          </cell>
          <cell r="K1603">
            <v>0</v>
          </cell>
        </row>
        <row r="1604">
          <cell r="A1604">
            <v>0</v>
          </cell>
          <cell r="K1604">
            <v>0</v>
          </cell>
        </row>
        <row r="1605">
          <cell r="A1605">
            <v>0</v>
          </cell>
          <cell r="K1605">
            <v>0</v>
          </cell>
        </row>
        <row r="1606">
          <cell r="A1606">
            <v>0</v>
          </cell>
          <cell r="K1606">
            <v>0</v>
          </cell>
        </row>
        <row r="1607">
          <cell r="A1607">
            <v>0</v>
          </cell>
          <cell r="K1607">
            <v>0</v>
          </cell>
        </row>
        <row r="1608">
          <cell r="A1608">
            <v>0</v>
          </cell>
          <cell r="K1608">
            <v>0</v>
          </cell>
        </row>
        <row r="1609">
          <cell r="A1609">
            <v>0</v>
          </cell>
          <cell r="K1609">
            <v>0</v>
          </cell>
        </row>
        <row r="1610">
          <cell r="A1610">
            <v>0</v>
          </cell>
          <cell r="K1610">
            <v>0</v>
          </cell>
        </row>
        <row r="1611">
          <cell r="A1611">
            <v>0</v>
          </cell>
          <cell r="K1611">
            <v>0</v>
          </cell>
        </row>
        <row r="1612">
          <cell r="A1612">
            <v>0</v>
          </cell>
          <cell r="K1612">
            <v>0</v>
          </cell>
        </row>
        <row r="1613">
          <cell r="A1613">
            <v>0</v>
          </cell>
          <cell r="K1613">
            <v>0</v>
          </cell>
        </row>
        <row r="1614">
          <cell r="A1614">
            <v>0</v>
          </cell>
          <cell r="K1614">
            <v>0</v>
          </cell>
        </row>
        <row r="1615">
          <cell r="A1615">
            <v>0</v>
          </cell>
          <cell r="K1615">
            <v>0</v>
          </cell>
        </row>
        <row r="1616">
          <cell r="A1616">
            <v>0</v>
          </cell>
          <cell r="K1616">
            <v>0</v>
          </cell>
        </row>
        <row r="1617">
          <cell r="A1617">
            <v>0</v>
          </cell>
          <cell r="K1617">
            <v>0</v>
          </cell>
        </row>
        <row r="1618">
          <cell r="A1618">
            <v>0</v>
          </cell>
          <cell r="K1618">
            <v>0</v>
          </cell>
        </row>
        <row r="1619">
          <cell r="A1619">
            <v>0</v>
          </cell>
          <cell r="K1619">
            <v>0</v>
          </cell>
        </row>
        <row r="1620">
          <cell r="A1620">
            <v>0</v>
          </cell>
          <cell r="K1620">
            <v>0</v>
          </cell>
        </row>
        <row r="1621">
          <cell r="A1621">
            <v>0</v>
          </cell>
          <cell r="K1621">
            <v>0</v>
          </cell>
        </row>
        <row r="1622">
          <cell r="A1622">
            <v>0</v>
          </cell>
          <cell r="K1622">
            <v>0</v>
          </cell>
        </row>
        <row r="1623">
          <cell r="A1623">
            <v>0</v>
          </cell>
          <cell r="K1623">
            <v>0</v>
          </cell>
        </row>
        <row r="1624">
          <cell r="A1624">
            <v>0</v>
          </cell>
          <cell r="K1624">
            <v>0</v>
          </cell>
        </row>
        <row r="1625">
          <cell r="A1625">
            <v>0</v>
          </cell>
          <cell r="K1625">
            <v>0</v>
          </cell>
        </row>
        <row r="1626">
          <cell r="A1626">
            <v>0</v>
          </cell>
          <cell r="K1626">
            <v>0</v>
          </cell>
        </row>
        <row r="1627">
          <cell r="A1627">
            <v>0</v>
          </cell>
          <cell r="K1627">
            <v>0</v>
          </cell>
        </row>
        <row r="1628">
          <cell r="A1628">
            <v>0</v>
          </cell>
          <cell r="K1628">
            <v>0</v>
          </cell>
        </row>
        <row r="1629">
          <cell r="A1629">
            <v>0</v>
          </cell>
          <cell r="K1629">
            <v>0</v>
          </cell>
        </row>
        <row r="1630">
          <cell r="A1630">
            <v>0</v>
          </cell>
          <cell r="K1630">
            <v>0</v>
          </cell>
        </row>
        <row r="1631">
          <cell r="A1631">
            <v>0</v>
          </cell>
          <cell r="K1631">
            <v>0</v>
          </cell>
        </row>
        <row r="1632">
          <cell r="A1632">
            <v>0</v>
          </cell>
          <cell r="K1632">
            <v>0</v>
          </cell>
        </row>
        <row r="1633">
          <cell r="A1633">
            <v>0</v>
          </cell>
          <cell r="K1633">
            <v>0</v>
          </cell>
        </row>
        <row r="1634">
          <cell r="A1634">
            <v>0</v>
          </cell>
          <cell r="K1634">
            <v>0</v>
          </cell>
        </row>
        <row r="1635">
          <cell r="A1635">
            <v>0</v>
          </cell>
          <cell r="K1635">
            <v>0</v>
          </cell>
        </row>
        <row r="1636">
          <cell r="A1636">
            <v>0</v>
          </cell>
          <cell r="K1636">
            <v>0</v>
          </cell>
        </row>
        <row r="1637">
          <cell r="A1637">
            <v>0</v>
          </cell>
          <cell r="K1637">
            <v>0</v>
          </cell>
        </row>
        <row r="1638">
          <cell r="A1638">
            <v>0</v>
          </cell>
          <cell r="K1638">
            <v>0</v>
          </cell>
        </row>
        <row r="1639">
          <cell r="A1639">
            <v>0</v>
          </cell>
          <cell r="K1639">
            <v>0</v>
          </cell>
        </row>
        <row r="1640">
          <cell r="A1640">
            <v>0</v>
          </cell>
          <cell r="K1640">
            <v>0</v>
          </cell>
        </row>
        <row r="1641">
          <cell r="A1641">
            <v>0</v>
          </cell>
          <cell r="K1641">
            <v>0</v>
          </cell>
        </row>
        <row r="1642">
          <cell r="A1642">
            <v>0</v>
          </cell>
          <cell r="K1642">
            <v>0</v>
          </cell>
        </row>
        <row r="1643">
          <cell r="A1643">
            <v>0</v>
          </cell>
          <cell r="K1643">
            <v>0</v>
          </cell>
        </row>
        <row r="1644">
          <cell r="A1644">
            <v>0</v>
          </cell>
          <cell r="K1644">
            <v>0</v>
          </cell>
        </row>
        <row r="1645">
          <cell r="A1645">
            <v>0</v>
          </cell>
          <cell r="K1645">
            <v>0</v>
          </cell>
        </row>
        <row r="1646">
          <cell r="A1646">
            <v>0</v>
          </cell>
          <cell r="K1646">
            <v>0</v>
          </cell>
        </row>
        <row r="1647">
          <cell r="A1647">
            <v>0</v>
          </cell>
          <cell r="K1647">
            <v>0</v>
          </cell>
        </row>
        <row r="1648">
          <cell r="A1648">
            <v>0</v>
          </cell>
          <cell r="K1648">
            <v>0</v>
          </cell>
        </row>
        <row r="1649">
          <cell r="A1649">
            <v>0</v>
          </cell>
          <cell r="K1649">
            <v>0</v>
          </cell>
        </row>
        <row r="1650">
          <cell r="A1650">
            <v>0</v>
          </cell>
          <cell r="K1650">
            <v>0</v>
          </cell>
        </row>
        <row r="1651">
          <cell r="A1651">
            <v>0</v>
          </cell>
          <cell r="K1651">
            <v>0</v>
          </cell>
        </row>
        <row r="1652">
          <cell r="A1652">
            <v>0</v>
          </cell>
          <cell r="K1652">
            <v>0</v>
          </cell>
        </row>
        <row r="1653">
          <cell r="A1653">
            <v>0</v>
          </cell>
          <cell r="K1653">
            <v>0</v>
          </cell>
        </row>
        <row r="1654">
          <cell r="A1654">
            <v>0</v>
          </cell>
          <cell r="K1654">
            <v>0</v>
          </cell>
        </row>
        <row r="1655">
          <cell r="A1655">
            <v>0</v>
          </cell>
          <cell r="K1655">
            <v>0</v>
          </cell>
        </row>
        <row r="1656">
          <cell r="A1656">
            <v>0</v>
          </cell>
          <cell r="K1656">
            <v>0</v>
          </cell>
        </row>
        <row r="1657">
          <cell r="A1657">
            <v>0</v>
          </cell>
          <cell r="K1657">
            <v>0</v>
          </cell>
        </row>
        <row r="1658">
          <cell r="A1658">
            <v>0</v>
          </cell>
          <cell r="K1658">
            <v>0</v>
          </cell>
        </row>
        <row r="1659">
          <cell r="A1659">
            <v>0</v>
          </cell>
          <cell r="K1659">
            <v>0</v>
          </cell>
        </row>
        <row r="1660">
          <cell r="A1660">
            <v>0</v>
          </cell>
          <cell r="K1660">
            <v>0</v>
          </cell>
        </row>
        <row r="1661">
          <cell r="A1661">
            <v>0</v>
          </cell>
          <cell r="K1661">
            <v>0</v>
          </cell>
        </row>
        <row r="1662">
          <cell r="A1662">
            <v>0</v>
          </cell>
          <cell r="K1662">
            <v>0</v>
          </cell>
        </row>
        <row r="1663">
          <cell r="A1663">
            <v>0</v>
          </cell>
          <cell r="K1663">
            <v>0</v>
          </cell>
        </row>
        <row r="1664">
          <cell r="A1664">
            <v>0</v>
          </cell>
          <cell r="K1664">
            <v>0</v>
          </cell>
        </row>
        <row r="1665">
          <cell r="A1665">
            <v>0</v>
          </cell>
          <cell r="K1665">
            <v>0</v>
          </cell>
        </row>
        <row r="1666">
          <cell r="A1666">
            <v>0</v>
          </cell>
          <cell r="K1666">
            <v>0</v>
          </cell>
        </row>
        <row r="1667">
          <cell r="A1667">
            <v>0</v>
          </cell>
          <cell r="K1667">
            <v>0</v>
          </cell>
        </row>
        <row r="1668">
          <cell r="A1668">
            <v>0</v>
          </cell>
          <cell r="K1668">
            <v>0</v>
          </cell>
        </row>
        <row r="1669">
          <cell r="A1669">
            <v>0</v>
          </cell>
          <cell r="K1669">
            <v>0</v>
          </cell>
        </row>
        <row r="1670">
          <cell r="A1670">
            <v>0</v>
          </cell>
          <cell r="K1670">
            <v>0</v>
          </cell>
        </row>
        <row r="1671">
          <cell r="A1671">
            <v>0</v>
          </cell>
          <cell r="K1671">
            <v>0</v>
          </cell>
        </row>
        <row r="1672">
          <cell r="A1672">
            <v>0</v>
          </cell>
          <cell r="K1672">
            <v>0</v>
          </cell>
        </row>
        <row r="1673">
          <cell r="A1673">
            <v>0</v>
          </cell>
          <cell r="K1673">
            <v>0</v>
          </cell>
        </row>
        <row r="1674">
          <cell r="A1674">
            <v>0</v>
          </cell>
          <cell r="K1674">
            <v>0</v>
          </cell>
        </row>
        <row r="1675">
          <cell r="A1675">
            <v>0</v>
          </cell>
          <cell r="K1675">
            <v>0</v>
          </cell>
        </row>
        <row r="1676">
          <cell r="A1676">
            <v>0</v>
          </cell>
          <cell r="K1676">
            <v>0</v>
          </cell>
        </row>
        <row r="1677">
          <cell r="A1677">
            <v>0</v>
          </cell>
          <cell r="K1677">
            <v>0</v>
          </cell>
        </row>
        <row r="1678">
          <cell r="A1678">
            <v>0</v>
          </cell>
          <cell r="K1678">
            <v>0</v>
          </cell>
        </row>
        <row r="1679">
          <cell r="A1679">
            <v>0</v>
          </cell>
          <cell r="K1679">
            <v>0</v>
          </cell>
        </row>
        <row r="1680">
          <cell r="A1680">
            <v>0</v>
          </cell>
          <cell r="K1680">
            <v>0</v>
          </cell>
        </row>
        <row r="1681">
          <cell r="A1681">
            <v>0</v>
          </cell>
          <cell r="K1681">
            <v>0</v>
          </cell>
        </row>
        <row r="1682">
          <cell r="A1682">
            <v>0</v>
          </cell>
          <cell r="K1682">
            <v>0</v>
          </cell>
        </row>
        <row r="1683">
          <cell r="A1683">
            <v>0</v>
          </cell>
          <cell r="K1683">
            <v>0</v>
          </cell>
        </row>
        <row r="1684">
          <cell r="A1684">
            <v>0</v>
          </cell>
          <cell r="K1684">
            <v>0</v>
          </cell>
        </row>
        <row r="1685">
          <cell r="A1685">
            <v>0</v>
          </cell>
          <cell r="K1685">
            <v>0</v>
          </cell>
        </row>
        <row r="1686">
          <cell r="A1686">
            <v>0</v>
          </cell>
          <cell r="K1686">
            <v>0</v>
          </cell>
        </row>
        <row r="1687">
          <cell r="A1687">
            <v>0</v>
          </cell>
          <cell r="K1687">
            <v>0</v>
          </cell>
        </row>
        <row r="1688">
          <cell r="A1688">
            <v>0</v>
          </cell>
          <cell r="K1688">
            <v>0</v>
          </cell>
        </row>
        <row r="1689">
          <cell r="A1689">
            <v>0</v>
          </cell>
          <cell r="K1689">
            <v>0</v>
          </cell>
        </row>
        <row r="1690">
          <cell r="A1690">
            <v>0</v>
          </cell>
          <cell r="K1690">
            <v>0</v>
          </cell>
        </row>
        <row r="1691">
          <cell r="A1691">
            <v>0</v>
          </cell>
          <cell r="K1691">
            <v>0</v>
          </cell>
        </row>
        <row r="1692">
          <cell r="A1692">
            <v>0</v>
          </cell>
          <cell r="K1692">
            <v>0</v>
          </cell>
        </row>
        <row r="1693">
          <cell r="A1693">
            <v>0</v>
          </cell>
          <cell r="K1693">
            <v>0</v>
          </cell>
        </row>
        <row r="1694">
          <cell r="A1694">
            <v>0</v>
          </cell>
          <cell r="K1694">
            <v>0</v>
          </cell>
        </row>
        <row r="1695">
          <cell r="A1695">
            <v>0</v>
          </cell>
          <cell r="K1695">
            <v>0</v>
          </cell>
        </row>
        <row r="1696">
          <cell r="A1696">
            <v>0</v>
          </cell>
          <cell r="K1696">
            <v>0</v>
          </cell>
        </row>
        <row r="1697">
          <cell r="A1697">
            <v>0</v>
          </cell>
          <cell r="K1697">
            <v>0</v>
          </cell>
        </row>
        <row r="1698">
          <cell r="A1698">
            <v>0</v>
          </cell>
          <cell r="K1698">
            <v>0</v>
          </cell>
        </row>
        <row r="1699">
          <cell r="A1699">
            <v>0</v>
          </cell>
          <cell r="K1699">
            <v>0</v>
          </cell>
        </row>
        <row r="1700">
          <cell r="A1700">
            <v>0</v>
          </cell>
          <cell r="K1700">
            <v>0</v>
          </cell>
        </row>
        <row r="1701">
          <cell r="A1701">
            <v>0</v>
          </cell>
          <cell r="K1701">
            <v>0</v>
          </cell>
        </row>
        <row r="1702">
          <cell r="A1702">
            <v>0</v>
          </cell>
          <cell r="K1702">
            <v>0</v>
          </cell>
        </row>
        <row r="1703">
          <cell r="A1703">
            <v>0</v>
          </cell>
          <cell r="K1703">
            <v>0</v>
          </cell>
        </row>
        <row r="1704">
          <cell r="A1704">
            <v>0</v>
          </cell>
          <cell r="K1704">
            <v>0</v>
          </cell>
        </row>
        <row r="1705">
          <cell r="A1705">
            <v>0</v>
          </cell>
          <cell r="K1705">
            <v>0</v>
          </cell>
        </row>
        <row r="1706">
          <cell r="A1706">
            <v>0</v>
          </cell>
          <cell r="K1706">
            <v>0</v>
          </cell>
        </row>
        <row r="1707">
          <cell r="A1707">
            <v>0</v>
          </cell>
          <cell r="K1707">
            <v>0</v>
          </cell>
        </row>
        <row r="1708">
          <cell r="A1708">
            <v>0</v>
          </cell>
          <cell r="K1708">
            <v>0</v>
          </cell>
        </row>
        <row r="1709">
          <cell r="A1709">
            <v>0</v>
          </cell>
          <cell r="K1709">
            <v>0</v>
          </cell>
        </row>
        <row r="1710">
          <cell r="A1710">
            <v>0</v>
          </cell>
          <cell r="K1710">
            <v>0</v>
          </cell>
        </row>
        <row r="1711">
          <cell r="A1711">
            <v>0</v>
          </cell>
          <cell r="K1711">
            <v>0</v>
          </cell>
        </row>
        <row r="1712">
          <cell r="A1712">
            <v>0</v>
          </cell>
          <cell r="K1712">
            <v>0</v>
          </cell>
        </row>
        <row r="1713">
          <cell r="A1713">
            <v>0</v>
          </cell>
          <cell r="K1713">
            <v>0</v>
          </cell>
        </row>
        <row r="1714">
          <cell r="A1714">
            <v>0</v>
          </cell>
          <cell r="K1714">
            <v>0</v>
          </cell>
        </row>
        <row r="1715">
          <cell r="A1715">
            <v>0</v>
          </cell>
          <cell r="K1715">
            <v>0</v>
          </cell>
        </row>
        <row r="1716">
          <cell r="A1716">
            <v>0</v>
          </cell>
          <cell r="K1716">
            <v>0</v>
          </cell>
        </row>
        <row r="1717">
          <cell r="A1717">
            <v>0</v>
          </cell>
          <cell r="K1717">
            <v>0</v>
          </cell>
        </row>
        <row r="1718">
          <cell r="A1718">
            <v>0</v>
          </cell>
          <cell r="K1718">
            <v>0</v>
          </cell>
        </row>
        <row r="1719">
          <cell r="A1719">
            <v>0</v>
          </cell>
          <cell r="K1719">
            <v>0</v>
          </cell>
        </row>
        <row r="1720">
          <cell r="A1720">
            <v>0</v>
          </cell>
          <cell r="K1720">
            <v>0</v>
          </cell>
        </row>
        <row r="1721">
          <cell r="A1721">
            <v>0</v>
          </cell>
          <cell r="K1721">
            <v>0</v>
          </cell>
        </row>
        <row r="1722">
          <cell r="A1722">
            <v>0</v>
          </cell>
          <cell r="K1722">
            <v>0</v>
          </cell>
        </row>
        <row r="1723">
          <cell r="A1723">
            <v>0</v>
          </cell>
          <cell r="K1723">
            <v>0</v>
          </cell>
        </row>
        <row r="1724">
          <cell r="A1724">
            <v>0</v>
          </cell>
          <cell r="K1724">
            <v>0</v>
          </cell>
        </row>
        <row r="1725">
          <cell r="A1725">
            <v>0</v>
          </cell>
          <cell r="K1725">
            <v>0</v>
          </cell>
        </row>
        <row r="1726">
          <cell r="A1726">
            <v>0</v>
          </cell>
          <cell r="K1726">
            <v>0</v>
          </cell>
        </row>
        <row r="1727">
          <cell r="A1727">
            <v>0</v>
          </cell>
          <cell r="K1727">
            <v>0</v>
          </cell>
        </row>
        <row r="1728">
          <cell r="A1728">
            <v>0</v>
          </cell>
          <cell r="K1728">
            <v>0</v>
          </cell>
        </row>
        <row r="1729">
          <cell r="A1729">
            <v>0</v>
          </cell>
          <cell r="K1729">
            <v>0</v>
          </cell>
        </row>
        <row r="1730">
          <cell r="A1730">
            <v>0</v>
          </cell>
          <cell r="K1730">
            <v>0</v>
          </cell>
        </row>
        <row r="1731">
          <cell r="A1731">
            <v>0</v>
          </cell>
          <cell r="K1731">
            <v>0</v>
          </cell>
        </row>
        <row r="1732">
          <cell r="A1732">
            <v>0</v>
          </cell>
          <cell r="K1732">
            <v>0</v>
          </cell>
        </row>
        <row r="1733">
          <cell r="A1733">
            <v>0</v>
          </cell>
          <cell r="K1733">
            <v>0</v>
          </cell>
        </row>
        <row r="1734">
          <cell r="A1734">
            <v>0</v>
          </cell>
          <cell r="K1734">
            <v>0</v>
          </cell>
        </row>
        <row r="1735">
          <cell r="A1735">
            <v>0</v>
          </cell>
          <cell r="K1735">
            <v>0</v>
          </cell>
        </row>
        <row r="1736">
          <cell r="A1736">
            <v>0</v>
          </cell>
          <cell r="K1736">
            <v>0</v>
          </cell>
        </row>
        <row r="1737">
          <cell r="A1737">
            <v>0</v>
          </cell>
          <cell r="K1737">
            <v>0</v>
          </cell>
        </row>
        <row r="1738">
          <cell r="A1738">
            <v>0</v>
          </cell>
          <cell r="K1738">
            <v>0</v>
          </cell>
        </row>
        <row r="1739">
          <cell r="A1739">
            <v>0</v>
          </cell>
          <cell r="K1739">
            <v>0</v>
          </cell>
        </row>
        <row r="1740">
          <cell r="A1740">
            <v>0</v>
          </cell>
          <cell r="K1740">
            <v>0</v>
          </cell>
        </row>
        <row r="1741">
          <cell r="A1741">
            <v>0</v>
          </cell>
          <cell r="K1741">
            <v>0</v>
          </cell>
        </row>
        <row r="1742">
          <cell r="A1742">
            <v>0</v>
          </cell>
          <cell r="K1742">
            <v>0</v>
          </cell>
        </row>
        <row r="1743">
          <cell r="A1743">
            <v>0</v>
          </cell>
          <cell r="K1743">
            <v>0</v>
          </cell>
        </row>
        <row r="1744">
          <cell r="A1744">
            <v>0</v>
          </cell>
          <cell r="K1744">
            <v>0</v>
          </cell>
        </row>
        <row r="1745">
          <cell r="A1745">
            <v>0</v>
          </cell>
          <cell r="K1745">
            <v>0</v>
          </cell>
        </row>
        <row r="1746">
          <cell r="A1746">
            <v>0</v>
          </cell>
          <cell r="K1746">
            <v>0</v>
          </cell>
        </row>
        <row r="1747">
          <cell r="A1747">
            <v>0</v>
          </cell>
          <cell r="K1747">
            <v>0</v>
          </cell>
        </row>
        <row r="1748">
          <cell r="A1748">
            <v>0</v>
          </cell>
          <cell r="K1748">
            <v>0</v>
          </cell>
        </row>
        <row r="1749">
          <cell r="A1749">
            <v>0</v>
          </cell>
          <cell r="K1749">
            <v>0</v>
          </cell>
        </row>
        <row r="1750">
          <cell r="A1750">
            <v>0</v>
          </cell>
          <cell r="K1750">
            <v>0</v>
          </cell>
        </row>
        <row r="1751">
          <cell r="A1751">
            <v>0</v>
          </cell>
          <cell r="K1751">
            <v>0</v>
          </cell>
        </row>
        <row r="1752">
          <cell r="A1752">
            <v>0</v>
          </cell>
          <cell r="K1752">
            <v>0</v>
          </cell>
        </row>
        <row r="1753">
          <cell r="A1753">
            <v>0</v>
          </cell>
          <cell r="K1753">
            <v>0</v>
          </cell>
        </row>
        <row r="1754">
          <cell r="A1754">
            <v>0</v>
          </cell>
          <cell r="K1754">
            <v>0</v>
          </cell>
        </row>
        <row r="1755">
          <cell r="A1755">
            <v>0</v>
          </cell>
          <cell r="K1755">
            <v>0</v>
          </cell>
        </row>
        <row r="1756">
          <cell r="A1756">
            <v>0</v>
          </cell>
          <cell r="K1756">
            <v>0</v>
          </cell>
        </row>
        <row r="1757">
          <cell r="A1757">
            <v>0</v>
          </cell>
          <cell r="K1757">
            <v>0</v>
          </cell>
        </row>
        <row r="1758">
          <cell r="A1758">
            <v>0</v>
          </cell>
          <cell r="K1758">
            <v>0</v>
          </cell>
        </row>
        <row r="1759">
          <cell r="A1759">
            <v>0</v>
          </cell>
          <cell r="K1759">
            <v>0</v>
          </cell>
        </row>
        <row r="1760">
          <cell r="A1760">
            <v>0</v>
          </cell>
          <cell r="K1760">
            <v>0</v>
          </cell>
        </row>
        <row r="1761">
          <cell r="A1761">
            <v>0</v>
          </cell>
          <cell r="K1761">
            <v>0</v>
          </cell>
        </row>
        <row r="1762">
          <cell r="A1762">
            <v>0</v>
          </cell>
          <cell r="K1762">
            <v>0</v>
          </cell>
        </row>
        <row r="1763">
          <cell r="A1763">
            <v>0</v>
          </cell>
          <cell r="K1763">
            <v>0</v>
          </cell>
        </row>
        <row r="1764">
          <cell r="A1764">
            <v>0</v>
          </cell>
          <cell r="K1764">
            <v>0</v>
          </cell>
        </row>
        <row r="1765">
          <cell r="A1765">
            <v>0</v>
          </cell>
          <cell r="K1765">
            <v>0</v>
          </cell>
        </row>
        <row r="1766">
          <cell r="A1766">
            <v>0</v>
          </cell>
          <cell r="K1766">
            <v>0</v>
          </cell>
        </row>
        <row r="1767">
          <cell r="A1767">
            <v>0</v>
          </cell>
          <cell r="K1767">
            <v>0</v>
          </cell>
        </row>
        <row r="1768">
          <cell r="A1768">
            <v>0</v>
          </cell>
          <cell r="K1768">
            <v>0</v>
          </cell>
        </row>
        <row r="1769">
          <cell r="A1769">
            <v>0</v>
          </cell>
          <cell r="K1769">
            <v>0</v>
          </cell>
        </row>
        <row r="1770">
          <cell r="A1770">
            <v>0</v>
          </cell>
          <cell r="K1770">
            <v>0</v>
          </cell>
        </row>
        <row r="1771">
          <cell r="A1771">
            <v>0</v>
          </cell>
          <cell r="K1771">
            <v>0</v>
          </cell>
        </row>
        <row r="1772">
          <cell r="A1772">
            <v>0</v>
          </cell>
          <cell r="K1772">
            <v>0</v>
          </cell>
        </row>
        <row r="1773">
          <cell r="A1773">
            <v>0</v>
          </cell>
          <cell r="K1773">
            <v>0</v>
          </cell>
        </row>
        <row r="1774">
          <cell r="A1774">
            <v>0</v>
          </cell>
          <cell r="K1774">
            <v>0</v>
          </cell>
        </row>
        <row r="1775">
          <cell r="A1775">
            <v>0</v>
          </cell>
          <cell r="K1775">
            <v>0</v>
          </cell>
        </row>
        <row r="1776">
          <cell r="A1776">
            <v>0</v>
          </cell>
          <cell r="K1776">
            <v>0</v>
          </cell>
        </row>
        <row r="1777">
          <cell r="A1777">
            <v>0</v>
          </cell>
          <cell r="K1777">
            <v>0</v>
          </cell>
        </row>
        <row r="1778">
          <cell r="A1778">
            <v>0</v>
          </cell>
          <cell r="K1778">
            <v>0</v>
          </cell>
        </row>
        <row r="1779">
          <cell r="A1779">
            <v>0</v>
          </cell>
          <cell r="K1779">
            <v>0</v>
          </cell>
        </row>
        <row r="1780">
          <cell r="A1780">
            <v>0</v>
          </cell>
          <cell r="K1780">
            <v>0</v>
          </cell>
        </row>
        <row r="1781">
          <cell r="A1781">
            <v>0</v>
          </cell>
          <cell r="K1781">
            <v>0</v>
          </cell>
        </row>
        <row r="1782">
          <cell r="A1782">
            <v>0</v>
          </cell>
          <cell r="K1782">
            <v>0</v>
          </cell>
        </row>
        <row r="1783">
          <cell r="A1783">
            <v>0</v>
          </cell>
          <cell r="K1783">
            <v>0</v>
          </cell>
        </row>
        <row r="1784">
          <cell r="A1784">
            <v>0</v>
          </cell>
          <cell r="K1784">
            <v>0</v>
          </cell>
        </row>
        <row r="1785">
          <cell r="A1785">
            <v>0</v>
          </cell>
          <cell r="K1785">
            <v>0</v>
          </cell>
        </row>
        <row r="1786">
          <cell r="A1786">
            <v>0</v>
          </cell>
          <cell r="K1786">
            <v>0</v>
          </cell>
        </row>
        <row r="1787">
          <cell r="A1787">
            <v>0</v>
          </cell>
          <cell r="K1787">
            <v>0</v>
          </cell>
        </row>
        <row r="1788">
          <cell r="A1788">
            <v>0</v>
          </cell>
          <cell r="K1788">
            <v>0</v>
          </cell>
        </row>
        <row r="1789">
          <cell r="A1789">
            <v>0</v>
          </cell>
          <cell r="K1789">
            <v>0</v>
          </cell>
        </row>
        <row r="1790">
          <cell r="A1790">
            <v>0</v>
          </cell>
          <cell r="K1790">
            <v>0</v>
          </cell>
        </row>
        <row r="1791">
          <cell r="A1791">
            <v>0</v>
          </cell>
          <cell r="K1791">
            <v>0</v>
          </cell>
        </row>
        <row r="1792">
          <cell r="A1792">
            <v>0</v>
          </cell>
          <cell r="K1792">
            <v>0</v>
          </cell>
        </row>
        <row r="1793">
          <cell r="A1793">
            <v>0</v>
          </cell>
          <cell r="K1793">
            <v>0</v>
          </cell>
        </row>
        <row r="1794">
          <cell r="A1794">
            <v>0</v>
          </cell>
          <cell r="K1794">
            <v>0</v>
          </cell>
        </row>
        <row r="1795">
          <cell r="A1795">
            <v>0</v>
          </cell>
          <cell r="K1795">
            <v>0</v>
          </cell>
        </row>
        <row r="1796">
          <cell r="A1796">
            <v>0</v>
          </cell>
          <cell r="K1796">
            <v>0</v>
          </cell>
        </row>
        <row r="1797">
          <cell r="A1797">
            <v>0</v>
          </cell>
          <cell r="K1797">
            <v>0</v>
          </cell>
        </row>
        <row r="1798">
          <cell r="A1798">
            <v>0</v>
          </cell>
          <cell r="K1798">
            <v>0</v>
          </cell>
        </row>
        <row r="1799">
          <cell r="A1799">
            <v>0</v>
          </cell>
          <cell r="K1799">
            <v>0</v>
          </cell>
        </row>
        <row r="1800">
          <cell r="A1800">
            <v>0</v>
          </cell>
          <cell r="K1800">
            <v>0</v>
          </cell>
        </row>
        <row r="1801">
          <cell r="A1801">
            <v>0</v>
          </cell>
          <cell r="K1801">
            <v>0</v>
          </cell>
        </row>
        <row r="1802">
          <cell r="A1802">
            <v>0</v>
          </cell>
          <cell r="K1802">
            <v>0</v>
          </cell>
        </row>
        <row r="1803">
          <cell r="A1803">
            <v>0</v>
          </cell>
          <cell r="K1803">
            <v>0</v>
          </cell>
        </row>
        <row r="1804">
          <cell r="A1804">
            <v>0</v>
          </cell>
          <cell r="K1804">
            <v>0</v>
          </cell>
        </row>
        <row r="1805">
          <cell r="A1805">
            <v>0</v>
          </cell>
          <cell r="K1805">
            <v>0</v>
          </cell>
        </row>
        <row r="1806">
          <cell r="A1806">
            <v>0</v>
          </cell>
          <cell r="K1806">
            <v>0</v>
          </cell>
        </row>
        <row r="1807">
          <cell r="A1807">
            <v>0</v>
          </cell>
          <cell r="K1807">
            <v>0</v>
          </cell>
        </row>
        <row r="1808">
          <cell r="A1808">
            <v>0</v>
          </cell>
          <cell r="K1808">
            <v>0</v>
          </cell>
        </row>
        <row r="1809">
          <cell r="A1809">
            <v>0</v>
          </cell>
          <cell r="K1809">
            <v>0</v>
          </cell>
        </row>
        <row r="1810">
          <cell r="A1810">
            <v>0</v>
          </cell>
          <cell r="K1810">
            <v>0</v>
          </cell>
        </row>
        <row r="1811">
          <cell r="A1811">
            <v>0</v>
          </cell>
          <cell r="K1811">
            <v>0</v>
          </cell>
        </row>
        <row r="1812">
          <cell r="A1812">
            <v>0</v>
          </cell>
          <cell r="K1812">
            <v>0</v>
          </cell>
        </row>
        <row r="1813">
          <cell r="A1813">
            <v>0</v>
          </cell>
          <cell r="K1813">
            <v>0</v>
          </cell>
        </row>
        <row r="1814">
          <cell r="A1814">
            <v>0</v>
          </cell>
          <cell r="K1814">
            <v>0</v>
          </cell>
        </row>
        <row r="1815">
          <cell r="A1815">
            <v>0</v>
          </cell>
          <cell r="K1815">
            <v>0</v>
          </cell>
        </row>
        <row r="1816">
          <cell r="A1816">
            <v>0</v>
          </cell>
          <cell r="K1816">
            <v>0</v>
          </cell>
        </row>
        <row r="1817">
          <cell r="A1817">
            <v>0</v>
          </cell>
          <cell r="K1817">
            <v>0</v>
          </cell>
        </row>
        <row r="1818">
          <cell r="A1818">
            <v>0</v>
          </cell>
          <cell r="K1818">
            <v>0</v>
          </cell>
        </row>
        <row r="1819">
          <cell r="A1819">
            <v>0</v>
          </cell>
          <cell r="K1819">
            <v>0</v>
          </cell>
        </row>
        <row r="1820">
          <cell r="A1820">
            <v>0</v>
          </cell>
          <cell r="K1820">
            <v>0</v>
          </cell>
        </row>
        <row r="1821">
          <cell r="A1821">
            <v>0</v>
          </cell>
          <cell r="K1821">
            <v>0</v>
          </cell>
        </row>
        <row r="1822">
          <cell r="A1822">
            <v>0</v>
          </cell>
          <cell r="K1822">
            <v>0</v>
          </cell>
        </row>
        <row r="1823">
          <cell r="A1823">
            <v>0</v>
          </cell>
          <cell r="K1823">
            <v>0</v>
          </cell>
        </row>
        <row r="1824">
          <cell r="A1824">
            <v>0</v>
          </cell>
          <cell r="K1824">
            <v>0</v>
          </cell>
        </row>
        <row r="1825">
          <cell r="A1825">
            <v>0</v>
          </cell>
          <cell r="K1825">
            <v>0</v>
          </cell>
        </row>
        <row r="1826">
          <cell r="A1826">
            <v>0</v>
          </cell>
          <cell r="K1826">
            <v>0</v>
          </cell>
        </row>
        <row r="1827">
          <cell r="A1827">
            <v>0</v>
          </cell>
          <cell r="K1827">
            <v>0</v>
          </cell>
        </row>
        <row r="1828">
          <cell r="A1828">
            <v>0</v>
          </cell>
          <cell r="K1828">
            <v>0</v>
          </cell>
        </row>
        <row r="1829">
          <cell r="A1829">
            <v>0</v>
          </cell>
          <cell r="K1829">
            <v>0</v>
          </cell>
        </row>
        <row r="1830">
          <cell r="A1830">
            <v>0</v>
          </cell>
          <cell r="K1830">
            <v>0</v>
          </cell>
        </row>
        <row r="1831">
          <cell r="A1831">
            <v>0</v>
          </cell>
          <cell r="K1831">
            <v>0</v>
          </cell>
        </row>
        <row r="1832">
          <cell r="A1832">
            <v>0</v>
          </cell>
          <cell r="K1832">
            <v>0</v>
          </cell>
        </row>
        <row r="1833">
          <cell r="A1833">
            <v>0</v>
          </cell>
          <cell r="K1833">
            <v>0</v>
          </cell>
        </row>
        <row r="1834">
          <cell r="A1834">
            <v>0</v>
          </cell>
          <cell r="K1834">
            <v>0</v>
          </cell>
        </row>
        <row r="1835">
          <cell r="A1835">
            <v>0</v>
          </cell>
          <cell r="K1835">
            <v>0</v>
          </cell>
        </row>
        <row r="1836">
          <cell r="A1836">
            <v>0</v>
          </cell>
          <cell r="K1836">
            <v>0</v>
          </cell>
        </row>
        <row r="1837">
          <cell r="A1837">
            <v>0</v>
          </cell>
          <cell r="K1837">
            <v>0</v>
          </cell>
        </row>
        <row r="1838">
          <cell r="A1838">
            <v>0</v>
          </cell>
          <cell r="K1838">
            <v>0</v>
          </cell>
        </row>
        <row r="1839">
          <cell r="A1839">
            <v>0</v>
          </cell>
          <cell r="K1839">
            <v>0</v>
          </cell>
        </row>
        <row r="1840">
          <cell r="A1840">
            <v>0</v>
          </cell>
          <cell r="K1840">
            <v>0</v>
          </cell>
        </row>
        <row r="1841">
          <cell r="A1841">
            <v>0</v>
          </cell>
          <cell r="K1841">
            <v>0</v>
          </cell>
        </row>
        <row r="1842">
          <cell r="A1842">
            <v>0</v>
          </cell>
          <cell r="K1842">
            <v>0</v>
          </cell>
        </row>
        <row r="1843">
          <cell r="A1843">
            <v>0</v>
          </cell>
          <cell r="K1843">
            <v>0</v>
          </cell>
        </row>
        <row r="1844">
          <cell r="A1844">
            <v>0</v>
          </cell>
          <cell r="K1844">
            <v>0</v>
          </cell>
        </row>
        <row r="1845">
          <cell r="A1845">
            <v>0</v>
          </cell>
          <cell r="K1845">
            <v>0</v>
          </cell>
        </row>
        <row r="1846">
          <cell r="A1846">
            <v>0</v>
          </cell>
          <cell r="K1846">
            <v>0</v>
          </cell>
        </row>
        <row r="1847">
          <cell r="A1847">
            <v>0</v>
          </cell>
          <cell r="K1847">
            <v>0</v>
          </cell>
        </row>
        <row r="1848">
          <cell r="A1848">
            <v>0</v>
          </cell>
          <cell r="K1848">
            <v>0</v>
          </cell>
        </row>
        <row r="1849">
          <cell r="A1849">
            <v>0</v>
          </cell>
          <cell r="K1849">
            <v>0</v>
          </cell>
        </row>
        <row r="1850">
          <cell r="A1850">
            <v>0</v>
          </cell>
          <cell r="K1850">
            <v>0</v>
          </cell>
        </row>
        <row r="1851">
          <cell r="A1851">
            <v>0</v>
          </cell>
          <cell r="K1851">
            <v>0</v>
          </cell>
        </row>
        <row r="1852">
          <cell r="A1852">
            <v>0</v>
          </cell>
          <cell r="K1852">
            <v>0</v>
          </cell>
        </row>
        <row r="1853">
          <cell r="A1853">
            <v>0</v>
          </cell>
          <cell r="K1853">
            <v>0</v>
          </cell>
        </row>
        <row r="1854">
          <cell r="A1854">
            <v>0</v>
          </cell>
          <cell r="K1854">
            <v>0</v>
          </cell>
        </row>
        <row r="1855">
          <cell r="A1855">
            <v>0</v>
          </cell>
          <cell r="K1855">
            <v>0</v>
          </cell>
        </row>
        <row r="1856">
          <cell r="A1856">
            <v>0</v>
          </cell>
          <cell r="K1856">
            <v>0</v>
          </cell>
        </row>
        <row r="1857">
          <cell r="A1857">
            <v>0</v>
          </cell>
          <cell r="K1857">
            <v>0</v>
          </cell>
        </row>
        <row r="1858">
          <cell r="A1858">
            <v>0</v>
          </cell>
          <cell r="K1858">
            <v>0</v>
          </cell>
        </row>
        <row r="1859">
          <cell r="A1859">
            <v>0</v>
          </cell>
          <cell r="K1859">
            <v>0</v>
          </cell>
        </row>
        <row r="1860">
          <cell r="A1860">
            <v>0</v>
          </cell>
          <cell r="K1860">
            <v>0</v>
          </cell>
        </row>
        <row r="1861">
          <cell r="A1861">
            <v>0</v>
          </cell>
          <cell r="K1861">
            <v>0</v>
          </cell>
        </row>
        <row r="1862">
          <cell r="A1862">
            <v>0</v>
          </cell>
          <cell r="K1862">
            <v>0</v>
          </cell>
        </row>
        <row r="1863">
          <cell r="A1863">
            <v>0</v>
          </cell>
          <cell r="K1863">
            <v>0</v>
          </cell>
        </row>
        <row r="1864">
          <cell r="A1864">
            <v>0</v>
          </cell>
          <cell r="K1864">
            <v>0</v>
          </cell>
        </row>
        <row r="1865">
          <cell r="A1865">
            <v>0</v>
          </cell>
          <cell r="K1865">
            <v>0</v>
          </cell>
        </row>
        <row r="1866">
          <cell r="A1866">
            <v>0</v>
          </cell>
          <cell r="K1866">
            <v>0</v>
          </cell>
        </row>
        <row r="1867">
          <cell r="A1867">
            <v>0</v>
          </cell>
          <cell r="K1867">
            <v>0</v>
          </cell>
        </row>
        <row r="1868">
          <cell r="A1868">
            <v>0</v>
          </cell>
          <cell r="K1868">
            <v>0</v>
          </cell>
        </row>
        <row r="1869">
          <cell r="A1869">
            <v>0</v>
          </cell>
          <cell r="K1869">
            <v>0</v>
          </cell>
        </row>
        <row r="1870">
          <cell r="A1870">
            <v>0</v>
          </cell>
          <cell r="K1870">
            <v>0</v>
          </cell>
        </row>
        <row r="1871">
          <cell r="A1871">
            <v>0</v>
          </cell>
          <cell r="K1871">
            <v>0</v>
          </cell>
        </row>
        <row r="1872">
          <cell r="A1872">
            <v>0</v>
          </cell>
          <cell r="K1872">
            <v>0</v>
          </cell>
        </row>
        <row r="1873">
          <cell r="A1873">
            <v>0</v>
          </cell>
          <cell r="K1873">
            <v>0</v>
          </cell>
        </row>
        <row r="1874">
          <cell r="A1874">
            <v>0</v>
          </cell>
          <cell r="K1874">
            <v>0</v>
          </cell>
        </row>
        <row r="1875">
          <cell r="A1875">
            <v>0</v>
          </cell>
          <cell r="K1875">
            <v>0</v>
          </cell>
        </row>
        <row r="1876">
          <cell r="A1876">
            <v>0</v>
          </cell>
          <cell r="K1876">
            <v>0</v>
          </cell>
        </row>
        <row r="1877">
          <cell r="A1877">
            <v>0</v>
          </cell>
          <cell r="K1877">
            <v>0</v>
          </cell>
        </row>
        <row r="1878">
          <cell r="A1878">
            <v>0</v>
          </cell>
          <cell r="K1878">
            <v>0</v>
          </cell>
        </row>
        <row r="1879">
          <cell r="A1879">
            <v>0</v>
          </cell>
          <cell r="K1879">
            <v>0</v>
          </cell>
        </row>
        <row r="1880">
          <cell r="A1880">
            <v>0</v>
          </cell>
          <cell r="K1880">
            <v>0</v>
          </cell>
        </row>
        <row r="1881">
          <cell r="A1881">
            <v>0</v>
          </cell>
          <cell r="K1881">
            <v>0</v>
          </cell>
        </row>
        <row r="1882">
          <cell r="A1882">
            <v>0</v>
          </cell>
          <cell r="K1882">
            <v>0</v>
          </cell>
        </row>
        <row r="1883">
          <cell r="A1883">
            <v>0</v>
          </cell>
          <cell r="K1883">
            <v>0</v>
          </cell>
        </row>
        <row r="1884">
          <cell r="A1884">
            <v>0</v>
          </cell>
          <cell r="K1884">
            <v>0</v>
          </cell>
        </row>
        <row r="1885">
          <cell r="A1885">
            <v>0</v>
          </cell>
          <cell r="K1885">
            <v>0</v>
          </cell>
        </row>
        <row r="1886">
          <cell r="A1886">
            <v>0</v>
          </cell>
          <cell r="K1886">
            <v>0</v>
          </cell>
        </row>
        <row r="1887">
          <cell r="A1887">
            <v>0</v>
          </cell>
          <cell r="K1887">
            <v>0</v>
          </cell>
        </row>
        <row r="1888">
          <cell r="A1888">
            <v>0</v>
          </cell>
          <cell r="K1888">
            <v>0</v>
          </cell>
        </row>
        <row r="1889">
          <cell r="A1889">
            <v>0</v>
          </cell>
          <cell r="K1889">
            <v>0</v>
          </cell>
        </row>
        <row r="1890">
          <cell r="A1890">
            <v>0</v>
          </cell>
          <cell r="K1890">
            <v>0</v>
          </cell>
        </row>
        <row r="1891">
          <cell r="A1891">
            <v>0</v>
          </cell>
          <cell r="K1891">
            <v>0</v>
          </cell>
        </row>
        <row r="1892">
          <cell r="A1892">
            <v>0</v>
          </cell>
          <cell r="K1892">
            <v>0</v>
          </cell>
        </row>
        <row r="1893">
          <cell r="A1893">
            <v>0</v>
          </cell>
          <cell r="K1893">
            <v>0</v>
          </cell>
        </row>
        <row r="1894">
          <cell r="A1894">
            <v>0</v>
          </cell>
          <cell r="K1894">
            <v>0</v>
          </cell>
        </row>
        <row r="1895">
          <cell r="A1895">
            <v>0</v>
          </cell>
          <cell r="K1895">
            <v>0</v>
          </cell>
        </row>
        <row r="1896">
          <cell r="A1896">
            <v>0</v>
          </cell>
          <cell r="K1896">
            <v>0</v>
          </cell>
        </row>
        <row r="1897">
          <cell r="A1897">
            <v>0</v>
          </cell>
          <cell r="K1897">
            <v>0</v>
          </cell>
        </row>
        <row r="1898">
          <cell r="A1898">
            <v>0</v>
          </cell>
          <cell r="K1898">
            <v>0</v>
          </cell>
        </row>
        <row r="1899">
          <cell r="A1899">
            <v>0</v>
          </cell>
          <cell r="K1899">
            <v>0</v>
          </cell>
        </row>
        <row r="1900">
          <cell r="A1900">
            <v>0</v>
          </cell>
          <cell r="K1900">
            <v>0</v>
          </cell>
        </row>
        <row r="1901">
          <cell r="A1901">
            <v>0</v>
          </cell>
          <cell r="K1901">
            <v>0</v>
          </cell>
        </row>
        <row r="1902">
          <cell r="A1902">
            <v>0</v>
          </cell>
          <cell r="K1902">
            <v>0</v>
          </cell>
        </row>
        <row r="1903">
          <cell r="A1903">
            <v>0</v>
          </cell>
          <cell r="K1903">
            <v>0</v>
          </cell>
        </row>
        <row r="1904">
          <cell r="A1904">
            <v>0</v>
          </cell>
          <cell r="K1904">
            <v>0</v>
          </cell>
        </row>
        <row r="1905">
          <cell r="A1905">
            <v>0</v>
          </cell>
          <cell r="K1905">
            <v>0</v>
          </cell>
        </row>
        <row r="1906">
          <cell r="A1906">
            <v>0</v>
          </cell>
          <cell r="K1906">
            <v>0</v>
          </cell>
        </row>
        <row r="1907">
          <cell r="A1907">
            <v>0</v>
          </cell>
          <cell r="K1907">
            <v>0</v>
          </cell>
        </row>
        <row r="1908">
          <cell r="A1908">
            <v>0</v>
          </cell>
          <cell r="K1908">
            <v>0</v>
          </cell>
        </row>
        <row r="1909">
          <cell r="A1909">
            <v>0</v>
          </cell>
          <cell r="K1909">
            <v>0</v>
          </cell>
        </row>
        <row r="1910">
          <cell r="A1910">
            <v>0</v>
          </cell>
          <cell r="K1910">
            <v>0</v>
          </cell>
        </row>
        <row r="1911">
          <cell r="A1911">
            <v>0</v>
          </cell>
          <cell r="K1911">
            <v>0</v>
          </cell>
        </row>
        <row r="1912">
          <cell r="A1912">
            <v>0</v>
          </cell>
          <cell r="K1912">
            <v>0</v>
          </cell>
        </row>
        <row r="1913">
          <cell r="A1913">
            <v>0</v>
          </cell>
          <cell r="K1913">
            <v>0</v>
          </cell>
        </row>
        <row r="1914">
          <cell r="A1914">
            <v>0</v>
          </cell>
          <cell r="K1914">
            <v>0</v>
          </cell>
        </row>
        <row r="1915">
          <cell r="A1915">
            <v>0</v>
          </cell>
          <cell r="K1915">
            <v>0</v>
          </cell>
        </row>
        <row r="1916">
          <cell r="A1916">
            <v>0</v>
          </cell>
          <cell r="K1916">
            <v>0</v>
          </cell>
        </row>
        <row r="1917">
          <cell r="A1917">
            <v>0</v>
          </cell>
          <cell r="K1917">
            <v>0</v>
          </cell>
        </row>
        <row r="1918">
          <cell r="A1918">
            <v>0</v>
          </cell>
          <cell r="K1918">
            <v>0</v>
          </cell>
        </row>
        <row r="1919">
          <cell r="A1919">
            <v>0</v>
          </cell>
          <cell r="K1919">
            <v>0</v>
          </cell>
        </row>
        <row r="1920">
          <cell r="A1920">
            <v>0</v>
          </cell>
          <cell r="K1920">
            <v>0</v>
          </cell>
        </row>
        <row r="1921">
          <cell r="A1921">
            <v>0</v>
          </cell>
          <cell r="K1921">
            <v>0</v>
          </cell>
        </row>
        <row r="1922">
          <cell r="A1922">
            <v>0</v>
          </cell>
          <cell r="K1922">
            <v>0</v>
          </cell>
        </row>
        <row r="1923">
          <cell r="A1923">
            <v>0</v>
          </cell>
          <cell r="K1923">
            <v>0</v>
          </cell>
        </row>
        <row r="1924">
          <cell r="A1924">
            <v>0</v>
          </cell>
          <cell r="K1924">
            <v>0</v>
          </cell>
        </row>
        <row r="1925">
          <cell r="A1925">
            <v>0</v>
          </cell>
          <cell r="K1925">
            <v>0</v>
          </cell>
        </row>
        <row r="1926">
          <cell r="A1926">
            <v>0</v>
          </cell>
          <cell r="K1926">
            <v>0</v>
          </cell>
        </row>
        <row r="1927">
          <cell r="A1927">
            <v>0</v>
          </cell>
          <cell r="K1927">
            <v>0</v>
          </cell>
        </row>
        <row r="1928">
          <cell r="A1928">
            <v>0</v>
          </cell>
          <cell r="K1928">
            <v>0</v>
          </cell>
        </row>
        <row r="1929">
          <cell r="A1929">
            <v>0</v>
          </cell>
          <cell r="K1929">
            <v>0</v>
          </cell>
        </row>
        <row r="1930">
          <cell r="A1930">
            <v>0</v>
          </cell>
          <cell r="K1930">
            <v>0</v>
          </cell>
        </row>
        <row r="1931">
          <cell r="A1931">
            <v>0</v>
          </cell>
          <cell r="K1931">
            <v>0</v>
          </cell>
        </row>
        <row r="1932">
          <cell r="A1932">
            <v>0</v>
          </cell>
          <cell r="K1932">
            <v>0</v>
          </cell>
        </row>
        <row r="1933">
          <cell r="A1933">
            <v>0</v>
          </cell>
          <cell r="K1933">
            <v>0</v>
          </cell>
        </row>
        <row r="1934">
          <cell r="A1934">
            <v>0</v>
          </cell>
          <cell r="K1934">
            <v>0</v>
          </cell>
        </row>
        <row r="1935">
          <cell r="A1935">
            <v>0</v>
          </cell>
          <cell r="K1935">
            <v>0</v>
          </cell>
        </row>
        <row r="1936">
          <cell r="A1936">
            <v>0</v>
          </cell>
          <cell r="K1936">
            <v>0</v>
          </cell>
        </row>
        <row r="1937">
          <cell r="A1937">
            <v>0</v>
          </cell>
          <cell r="K1937">
            <v>0</v>
          </cell>
        </row>
        <row r="1938">
          <cell r="A1938">
            <v>0</v>
          </cell>
          <cell r="K1938">
            <v>0</v>
          </cell>
        </row>
        <row r="1939">
          <cell r="A1939">
            <v>0</v>
          </cell>
          <cell r="K1939">
            <v>0</v>
          </cell>
        </row>
        <row r="1940">
          <cell r="A1940">
            <v>0</v>
          </cell>
          <cell r="K1940">
            <v>0</v>
          </cell>
        </row>
        <row r="1941">
          <cell r="A1941">
            <v>0</v>
          </cell>
          <cell r="K1941">
            <v>0</v>
          </cell>
        </row>
        <row r="1942">
          <cell r="A1942">
            <v>0</v>
          </cell>
          <cell r="K1942">
            <v>0</v>
          </cell>
        </row>
        <row r="1943">
          <cell r="A1943">
            <v>0</v>
          </cell>
          <cell r="K1943">
            <v>0</v>
          </cell>
        </row>
        <row r="1944">
          <cell r="A1944">
            <v>0</v>
          </cell>
          <cell r="K1944">
            <v>0</v>
          </cell>
        </row>
        <row r="1945">
          <cell r="A1945">
            <v>0</v>
          </cell>
          <cell r="K1945">
            <v>0</v>
          </cell>
        </row>
        <row r="1946">
          <cell r="A1946">
            <v>0</v>
          </cell>
          <cell r="K1946">
            <v>0</v>
          </cell>
        </row>
        <row r="1947">
          <cell r="A1947">
            <v>0</v>
          </cell>
          <cell r="K1947">
            <v>0</v>
          </cell>
        </row>
        <row r="1948">
          <cell r="A1948">
            <v>0</v>
          </cell>
          <cell r="K1948">
            <v>0</v>
          </cell>
        </row>
        <row r="1949">
          <cell r="A1949">
            <v>0</v>
          </cell>
          <cell r="K1949">
            <v>0</v>
          </cell>
        </row>
        <row r="1950">
          <cell r="A1950">
            <v>0</v>
          </cell>
          <cell r="K1950">
            <v>0</v>
          </cell>
        </row>
        <row r="1951">
          <cell r="A1951">
            <v>0</v>
          </cell>
          <cell r="K1951">
            <v>0</v>
          </cell>
        </row>
        <row r="1952">
          <cell r="A1952">
            <v>0</v>
          </cell>
          <cell r="K1952">
            <v>0</v>
          </cell>
        </row>
        <row r="1953">
          <cell r="A1953">
            <v>0</v>
          </cell>
          <cell r="K1953">
            <v>0</v>
          </cell>
        </row>
        <row r="1954">
          <cell r="A1954">
            <v>0</v>
          </cell>
          <cell r="K1954">
            <v>0</v>
          </cell>
        </row>
        <row r="1955">
          <cell r="A1955">
            <v>0</v>
          </cell>
          <cell r="K1955">
            <v>0</v>
          </cell>
        </row>
        <row r="1956">
          <cell r="A1956">
            <v>0</v>
          </cell>
          <cell r="K1956">
            <v>0</v>
          </cell>
        </row>
        <row r="1957">
          <cell r="A1957">
            <v>0</v>
          </cell>
          <cell r="K1957">
            <v>0</v>
          </cell>
        </row>
        <row r="1958">
          <cell r="A1958">
            <v>0</v>
          </cell>
          <cell r="K1958">
            <v>0</v>
          </cell>
        </row>
        <row r="1959">
          <cell r="A1959">
            <v>0</v>
          </cell>
          <cell r="K1959">
            <v>0</v>
          </cell>
        </row>
        <row r="1960">
          <cell r="A1960">
            <v>0</v>
          </cell>
          <cell r="K1960">
            <v>0</v>
          </cell>
        </row>
        <row r="1961">
          <cell r="A1961">
            <v>0</v>
          </cell>
          <cell r="K1961">
            <v>0</v>
          </cell>
        </row>
        <row r="1962">
          <cell r="A1962">
            <v>0</v>
          </cell>
          <cell r="K1962">
            <v>0</v>
          </cell>
        </row>
        <row r="1963">
          <cell r="A1963">
            <v>0</v>
          </cell>
          <cell r="K1963">
            <v>0</v>
          </cell>
        </row>
        <row r="1964">
          <cell r="A1964">
            <v>0</v>
          </cell>
          <cell r="K1964">
            <v>0</v>
          </cell>
        </row>
        <row r="1965">
          <cell r="A1965">
            <v>0</v>
          </cell>
          <cell r="K1965">
            <v>0</v>
          </cell>
        </row>
        <row r="1966">
          <cell r="A1966">
            <v>0</v>
          </cell>
          <cell r="K1966">
            <v>0</v>
          </cell>
        </row>
        <row r="1967">
          <cell r="A1967">
            <v>0</v>
          </cell>
          <cell r="K1967">
            <v>0</v>
          </cell>
        </row>
        <row r="1968">
          <cell r="A1968">
            <v>0</v>
          </cell>
          <cell r="K1968">
            <v>0</v>
          </cell>
        </row>
        <row r="1969">
          <cell r="A1969">
            <v>0</v>
          </cell>
          <cell r="K1969">
            <v>0</v>
          </cell>
        </row>
        <row r="1970">
          <cell r="A1970">
            <v>0</v>
          </cell>
          <cell r="K1970">
            <v>0</v>
          </cell>
        </row>
        <row r="1971">
          <cell r="A1971">
            <v>0</v>
          </cell>
          <cell r="K1971">
            <v>0</v>
          </cell>
        </row>
        <row r="1972">
          <cell r="A1972">
            <v>0</v>
          </cell>
          <cell r="K1972">
            <v>0</v>
          </cell>
        </row>
        <row r="1973">
          <cell r="A1973">
            <v>0</v>
          </cell>
          <cell r="K1973">
            <v>0</v>
          </cell>
        </row>
        <row r="1974">
          <cell r="A1974">
            <v>0</v>
          </cell>
          <cell r="K1974">
            <v>0</v>
          </cell>
        </row>
        <row r="1975">
          <cell r="A1975">
            <v>0</v>
          </cell>
          <cell r="K1975">
            <v>0</v>
          </cell>
        </row>
        <row r="1976">
          <cell r="A1976">
            <v>0</v>
          </cell>
          <cell r="K1976">
            <v>0</v>
          </cell>
        </row>
        <row r="1977">
          <cell r="A1977">
            <v>0</v>
          </cell>
          <cell r="K1977">
            <v>0</v>
          </cell>
        </row>
        <row r="1978">
          <cell r="A1978">
            <v>0</v>
          </cell>
          <cell r="K1978">
            <v>0</v>
          </cell>
        </row>
        <row r="1979">
          <cell r="A1979">
            <v>0</v>
          </cell>
          <cell r="K1979">
            <v>0</v>
          </cell>
        </row>
        <row r="1980">
          <cell r="A1980">
            <v>0</v>
          </cell>
          <cell r="K1980">
            <v>0</v>
          </cell>
        </row>
        <row r="1981">
          <cell r="A1981">
            <v>0</v>
          </cell>
          <cell r="K1981">
            <v>0</v>
          </cell>
        </row>
        <row r="1982">
          <cell r="A1982">
            <v>0</v>
          </cell>
          <cell r="K1982">
            <v>0</v>
          </cell>
        </row>
        <row r="1983">
          <cell r="A1983">
            <v>0</v>
          </cell>
          <cell r="K1983">
            <v>0</v>
          </cell>
        </row>
        <row r="1984">
          <cell r="A1984">
            <v>0</v>
          </cell>
          <cell r="K1984">
            <v>0</v>
          </cell>
        </row>
        <row r="1985">
          <cell r="A1985">
            <v>0</v>
          </cell>
          <cell r="K1985">
            <v>0</v>
          </cell>
        </row>
        <row r="1986">
          <cell r="A1986">
            <v>0</v>
          </cell>
          <cell r="K1986">
            <v>0</v>
          </cell>
        </row>
        <row r="1987">
          <cell r="A1987">
            <v>0</v>
          </cell>
          <cell r="K1987">
            <v>0</v>
          </cell>
        </row>
        <row r="1988">
          <cell r="A1988">
            <v>0</v>
          </cell>
          <cell r="K1988">
            <v>0</v>
          </cell>
        </row>
        <row r="1989">
          <cell r="A1989">
            <v>0</v>
          </cell>
          <cell r="K1989">
            <v>0</v>
          </cell>
        </row>
        <row r="1990">
          <cell r="A1990">
            <v>0</v>
          </cell>
          <cell r="K1990">
            <v>0</v>
          </cell>
        </row>
        <row r="1991">
          <cell r="A1991">
            <v>0</v>
          </cell>
          <cell r="K1991">
            <v>0</v>
          </cell>
        </row>
        <row r="1992">
          <cell r="A1992">
            <v>0</v>
          </cell>
          <cell r="K1992">
            <v>0</v>
          </cell>
        </row>
        <row r="1993">
          <cell r="A1993">
            <v>0</v>
          </cell>
          <cell r="K1993">
            <v>0</v>
          </cell>
        </row>
        <row r="1994">
          <cell r="A1994">
            <v>0</v>
          </cell>
          <cell r="K1994">
            <v>0</v>
          </cell>
        </row>
        <row r="1995">
          <cell r="A1995">
            <v>0</v>
          </cell>
          <cell r="K1995">
            <v>0</v>
          </cell>
        </row>
        <row r="1996">
          <cell r="A1996">
            <v>0</v>
          </cell>
          <cell r="K1996">
            <v>0</v>
          </cell>
        </row>
        <row r="1997">
          <cell r="A1997">
            <v>0</v>
          </cell>
          <cell r="K1997">
            <v>0</v>
          </cell>
        </row>
        <row r="1998">
          <cell r="A1998">
            <v>0</v>
          </cell>
          <cell r="K1998">
            <v>0</v>
          </cell>
        </row>
        <row r="1999">
          <cell r="A1999">
            <v>0</v>
          </cell>
          <cell r="K1999">
            <v>0</v>
          </cell>
        </row>
        <row r="2000">
          <cell r="A2000">
            <v>0</v>
          </cell>
          <cell r="K2000">
            <v>0</v>
          </cell>
        </row>
        <row r="2001">
          <cell r="A2001">
            <v>0</v>
          </cell>
          <cell r="K2001">
            <v>0</v>
          </cell>
        </row>
        <row r="2002">
          <cell r="A2002">
            <v>0</v>
          </cell>
          <cell r="K2002">
            <v>0</v>
          </cell>
        </row>
        <row r="2003">
          <cell r="A2003">
            <v>0</v>
          </cell>
          <cell r="K2003">
            <v>0</v>
          </cell>
        </row>
        <row r="2004">
          <cell r="A2004">
            <v>0</v>
          </cell>
          <cell r="K2004">
            <v>0</v>
          </cell>
        </row>
        <row r="2005">
          <cell r="A2005">
            <v>0</v>
          </cell>
          <cell r="K2005">
            <v>0</v>
          </cell>
        </row>
        <row r="2006">
          <cell r="A2006">
            <v>0</v>
          </cell>
          <cell r="K2006">
            <v>0</v>
          </cell>
        </row>
        <row r="2007">
          <cell r="A2007">
            <v>0</v>
          </cell>
          <cell r="K2007">
            <v>0</v>
          </cell>
        </row>
        <row r="2008">
          <cell r="A2008">
            <v>0</v>
          </cell>
          <cell r="K2008">
            <v>0</v>
          </cell>
        </row>
        <row r="2009">
          <cell r="A2009">
            <v>0</v>
          </cell>
          <cell r="K2009">
            <v>0</v>
          </cell>
        </row>
        <row r="2010">
          <cell r="A2010">
            <v>0</v>
          </cell>
          <cell r="K2010">
            <v>0</v>
          </cell>
        </row>
        <row r="2011">
          <cell r="A2011">
            <v>0</v>
          </cell>
          <cell r="K2011">
            <v>0</v>
          </cell>
        </row>
        <row r="2012">
          <cell r="A2012">
            <v>0</v>
          </cell>
          <cell r="K2012">
            <v>0</v>
          </cell>
        </row>
        <row r="2013">
          <cell r="A2013">
            <v>0</v>
          </cell>
          <cell r="K2013">
            <v>0</v>
          </cell>
        </row>
        <row r="2014">
          <cell r="A2014">
            <v>0</v>
          </cell>
          <cell r="K2014">
            <v>0</v>
          </cell>
        </row>
        <row r="2015">
          <cell r="A2015">
            <v>0</v>
          </cell>
          <cell r="K2015">
            <v>0</v>
          </cell>
        </row>
        <row r="2016">
          <cell r="A2016">
            <v>0</v>
          </cell>
          <cell r="K2016">
            <v>0</v>
          </cell>
        </row>
        <row r="2017">
          <cell r="A2017">
            <v>0</v>
          </cell>
          <cell r="K2017">
            <v>0</v>
          </cell>
        </row>
        <row r="2018">
          <cell r="A2018">
            <v>0</v>
          </cell>
          <cell r="K2018">
            <v>0</v>
          </cell>
        </row>
        <row r="2019">
          <cell r="A2019">
            <v>0</v>
          </cell>
          <cell r="K2019">
            <v>0</v>
          </cell>
        </row>
        <row r="2020">
          <cell r="A2020">
            <v>0</v>
          </cell>
          <cell r="K2020">
            <v>0</v>
          </cell>
        </row>
        <row r="2021">
          <cell r="A2021">
            <v>0</v>
          </cell>
          <cell r="K2021">
            <v>0</v>
          </cell>
        </row>
        <row r="2022">
          <cell r="A2022">
            <v>0</v>
          </cell>
          <cell r="K2022">
            <v>0</v>
          </cell>
        </row>
        <row r="2023">
          <cell r="A2023">
            <v>0</v>
          </cell>
          <cell r="K2023">
            <v>0</v>
          </cell>
        </row>
        <row r="2024">
          <cell r="A2024">
            <v>0</v>
          </cell>
          <cell r="K2024">
            <v>0</v>
          </cell>
        </row>
        <row r="2025">
          <cell r="A2025">
            <v>0</v>
          </cell>
          <cell r="K2025">
            <v>0</v>
          </cell>
        </row>
        <row r="2026">
          <cell r="A2026">
            <v>0</v>
          </cell>
          <cell r="K2026">
            <v>0</v>
          </cell>
        </row>
        <row r="2027">
          <cell r="A2027">
            <v>0</v>
          </cell>
          <cell r="K2027">
            <v>0</v>
          </cell>
        </row>
        <row r="2028">
          <cell r="A2028">
            <v>0</v>
          </cell>
          <cell r="K2028">
            <v>0</v>
          </cell>
        </row>
        <row r="2029">
          <cell r="A2029">
            <v>0</v>
          </cell>
          <cell r="K2029">
            <v>0</v>
          </cell>
        </row>
        <row r="2030">
          <cell r="A2030">
            <v>0</v>
          </cell>
          <cell r="K2030">
            <v>0</v>
          </cell>
        </row>
        <row r="2031">
          <cell r="A2031">
            <v>0</v>
          </cell>
          <cell r="K2031">
            <v>0</v>
          </cell>
        </row>
        <row r="2032">
          <cell r="A2032">
            <v>0</v>
          </cell>
          <cell r="K2032">
            <v>0</v>
          </cell>
        </row>
        <row r="2033">
          <cell r="A2033">
            <v>0</v>
          </cell>
          <cell r="K2033">
            <v>0</v>
          </cell>
        </row>
        <row r="2034">
          <cell r="A2034">
            <v>0</v>
          </cell>
          <cell r="K2034">
            <v>0</v>
          </cell>
        </row>
        <row r="2035">
          <cell r="A2035">
            <v>0</v>
          </cell>
          <cell r="K2035">
            <v>0</v>
          </cell>
        </row>
        <row r="2036">
          <cell r="A2036">
            <v>0</v>
          </cell>
          <cell r="K2036">
            <v>0</v>
          </cell>
        </row>
        <row r="2037">
          <cell r="A2037">
            <v>0</v>
          </cell>
          <cell r="K2037">
            <v>0</v>
          </cell>
        </row>
        <row r="2038">
          <cell r="A2038">
            <v>0</v>
          </cell>
          <cell r="K2038">
            <v>0</v>
          </cell>
        </row>
        <row r="2039">
          <cell r="A2039">
            <v>0</v>
          </cell>
          <cell r="K2039">
            <v>0</v>
          </cell>
        </row>
        <row r="2040">
          <cell r="A2040">
            <v>0</v>
          </cell>
          <cell r="K2040">
            <v>0</v>
          </cell>
        </row>
        <row r="2041">
          <cell r="A2041">
            <v>0</v>
          </cell>
          <cell r="K2041">
            <v>0</v>
          </cell>
        </row>
        <row r="2042">
          <cell r="A2042">
            <v>0</v>
          </cell>
          <cell r="K2042">
            <v>0</v>
          </cell>
        </row>
        <row r="2043">
          <cell r="A2043">
            <v>0</v>
          </cell>
          <cell r="K2043">
            <v>0</v>
          </cell>
        </row>
        <row r="2044">
          <cell r="A2044">
            <v>0</v>
          </cell>
          <cell r="K2044">
            <v>0</v>
          </cell>
        </row>
        <row r="2045">
          <cell r="A2045">
            <v>0</v>
          </cell>
          <cell r="K2045">
            <v>0</v>
          </cell>
        </row>
        <row r="2046">
          <cell r="A2046">
            <v>0</v>
          </cell>
          <cell r="K2046">
            <v>0</v>
          </cell>
        </row>
        <row r="2047">
          <cell r="A2047">
            <v>0</v>
          </cell>
          <cell r="K2047">
            <v>0</v>
          </cell>
        </row>
        <row r="2048">
          <cell r="A2048">
            <v>0</v>
          </cell>
          <cell r="K2048">
            <v>0</v>
          </cell>
        </row>
        <row r="2049">
          <cell r="A2049">
            <v>0</v>
          </cell>
          <cell r="K2049">
            <v>0</v>
          </cell>
        </row>
        <row r="2050">
          <cell r="A2050">
            <v>0</v>
          </cell>
          <cell r="K2050">
            <v>0</v>
          </cell>
        </row>
        <row r="2051">
          <cell r="A2051">
            <v>0</v>
          </cell>
          <cell r="K2051">
            <v>0</v>
          </cell>
        </row>
        <row r="2052">
          <cell r="A2052">
            <v>0</v>
          </cell>
          <cell r="K2052">
            <v>0</v>
          </cell>
        </row>
        <row r="2053">
          <cell r="A2053">
            <v>0</v>
          </cell>
          <cell r="K2053">
            <v>0</v>
          </cell>
        </row>
        <row r="2054">
          <cell r="A2054">
            <v>0</v>
          </cell>
          <cell r="K2054">
            <v>0</v>
          </cell>
        </row>
        <row r="2055">
          <cell r="A2055">
            <v>0</v>
          </cell>
          <cell r="K2055">
            <v>0</v>
          </cell>
        </row>
        <row r="2056">
          <cell r="A2056">
            <v>0</v>
          </cell>
          <cell r="K2056">
            <v>0</v>
          </cell>
        </row>
        <row r="2057">
          <cell r="A2057">
            <v>0</v>
          </cell>
          <cell r="K2057">
            <v>0</v>
          </cell>
        </row>
        <row r="2058">
          <cell r="A2058">
            <v>0</v>
          </cell>
          <cell r="K2058">
            <v>0</v>
          </cell>
        </row>
        <row r="2059">
          <cell r="A2059">
            <v>0</v>
          </cell>
          <cell r="K2059">
            <v>0</v>
          </cell>
        </row>
        <row r="2060">
          <cell r="A2060">
            <v>0</v>
          </cell>
          <cell r="K2060">
            <v>0</v>
          </cell>
        </row>
        <row r="2061">
          <cell r="A2061">
            <v>0</v>
          </cell>
          <cell r="K2061">
            <v>0</v>
          </cell>
        </row>
        <row r="2062">
          <cell r="A2062">
            <v>0</v>
          </cell>
          <cell r="K2062">
            <v>0</v>
          </cell>
        </row>
        <row r="2063">
          <cell r="A2063">
            <v>0</v>
          </cell>
          <cell r="K2063">
            <v>0</v>
          </cell>
        </row>
        <row r="2064">
          <cell r="A2064">
            <v>0</v>
          </cell>
          <cell r="K2064">
            <v>0</v>
          </cell>
        </row>
        <row r="2065">
          <cell r="A2065">
            <v>0</v>
          </cell>
          <cell r="K2065">
            <v>0</v>
          </cell>
        </row>
        <row r="2066">
          <cell r="A2066">
            <v>0</v>
          </cell>
          <cell r="K2066">
            <v>0</v>
          </cell>
        </row>
        <row r="2067">
          <cell r="A2067">
            <v>0</v>
          </cell>
          <cell r="K2067">
            <v>0</v>
          </cell>
        </row>
        <row r="2068">
          <cell r="A2068">
            <v>0</v>
          </cell>
          <cell r="K2068">
            <v>0</v>
          </cell>
        </row>
        <row r="2069">
          <cell r="A2069">
            <v>0</v>
          </cell>
          <cell r="K2069">
            <v>0</v>
          </cell>
        </row>
        <row r="2070">
          <cell r="A2070">
            <v>0</v>
          </cell>
          <cell r="K2070">
            <v>0</v>
          </cell>
        </row>
        <row r="2071">
          <cell r="A2071">
            <v>0</v>
          </cell>
          <cell r="K2071">
            <v>0</v>
          </cell>
        </row>
        <row r="2072">
          <cell r="A2072">
            <v>0</v>
          </cell>
          <cell r="K2072">
            <v>0</v>
          </cell>
        </row>
        <row r="2073">
          <cell r="A2073">
            <v>0</v>
          </cell>
          <cell r="K2073">
            <v>0</v>
          </cell>
        </row>
        <row r="2074">
          <cell r="A2074">
            <v>0</v>
          </cell>
          <cell r="K2074">
            <v>0</v>
          </cell>
        </row>
        <row r="2075">
          <cell r="A2075">
            <v>0</v>
          </cell>
          <cell r="K2075">
            <v>0</v>
          </cell>
        </row>
        <row r="2076">
          <cell r="A2076">
            <v>0</v>
          </cell>
          <cell r="K2076">
            <v>0</v>
          </cell>
        </row>
        <row r="2077">
          <cell r="A2077">
            <v>0</v>
          </cell>
          <cell r="K2077">
            <v>0</v>
          </cell>
        </row>
        <row r="2078">
          <cell r="A2078">
            <v>0</v>
          </cell>
          <cell r="K2078">
            <v>0</v>
          </cell>
        </row>
        <row r="2079">
          <cell r="A2079">
            <v>0</v>
          </cell>
          <cell r="K2079">
            <v>0</v>
          </cell>
        </row>
        <row r="2080">
          <cell r="A2080">
            <v>0</v>
          </cell>
          <cell r="K2080">
            <v>0</v>
          </cell>
        </row>
        <row r="2081">
          <cell r="A2081">
            <v>0</v>
          </cell>
          <cell r="K2081">
            <v>0</v>
          </cell>
        </row>
        <row r="2082">
          <cell r="A2082">
            <v>0</v>
          </cell>
          <cell r="K2082">
            <v>0</v>
          </cell>
        </row>
        <row r="2083">
          <cell r="A2083">
            <v>0</v>
          </cell>
          <cell r="K2083">
            <v>0</v>
          </cell>
        </row>
        <row r="2084">
          <cell r="A2084">
            <v>0</v>
          </cell>
          <cell r="K2084">
            <v>0</v>
          </cell>
        </row>
        <row r="2085">
          <cell r="A2085">
            <v>0</v>
          </cell>
          <cell r="K2085">
            <v>0</v>
          </cell>
        </row>
        <row r="2086">
          <cell r="A2086">
            <v>0</v>
          </cell>
          <cell r="K2086">
            <v>0</v>
          </cell>
        </row>
        <row r="2087">
          <cell r="A2087">
            <v>0</v>
          </cell>
          <cell r="K2087">
            <v>0</v>
          </cell>
        </row>
        <row r="2088">
          <cell r="A2088">
            <v>0</v>
          </cell>
          <cell r="K2088">
            <v>0</v>
          </cell>
        </row>
        <row r="2089">
          <cell r="A2089">
            <v>0</v>
          </cell>
          <cell r="K2089">
            <v>0</v>
          </cell>
        </row>
        <row r="2090">
          <cell r="A2090">
            <v>0</v>
          </cell>
          <cell r="K2090">
            <v>0</v>
          </cell>
        </row>
        <row r="2091">
          <cell r="A2091">
            <v>0</v>
          </cell>
          <cell r="K2091">
            <v>0</v>
          </cell>
        </row>
        <row r="2092">
          <cell r="A2092">
            <v>0</v>
          </cell>
          <cell r="K2092">
            <v>0</v>
          </cell>
        </row>
        <row r="2093">
          <cell r="A2093">
            <v>0</v>
          </cell>
          <cell r="K2093">
            <v>0</v>
          </cell>
        </row>
        <row r="2094">
          <cell r="A2094">
            <v>0</v>
          </cell>
          <cell r="K2094">
            <v>0</v>
          </cell>
        </row>
        <row r="2095">
          <cell r="A2095">
            <v>0</v>
          </cell>
          <cell r="K2095">
            <v>0</v>
          </cell>
        </row>
        <row r="2096">
          <cell r="A2096">
            <v>0</v>
          </cell>
          <cell r="K2096">
            <v>0</v>
          </cell>
        </row>
        <row r="2097">
          <cell r="A2097">
            <v>0</v>
          </cell>
          <cell r="K2097">
            <v>0</v>
          </cell>
        </row>
        <row r="2098">
          <cell r="A2098">
            <v>0</v>
          </cell>
          <cell r="K2098">
            <v>0</v>
          </cell>
        </row>
        <row r="2099">
          <cell r="A2099">
            <v>0</v>
          </cell>
          <cell r="K2099">
            <v>0</v>
          </cell>
        </row>
        <row r="2100">
          <cell r="A2100">
            <v>0</v>
          </cell>
          <cell r="K2100">
            <v>0</v>
          </cell>
        </row>
        <row r="2101">
          <cell r="A2101">
            <v>0</v>
          </cell>
          <cell r="K2101">
            <v>0</v>
          </cell>
        </row>
        <row r="2102">
          <cell r="A2102">
            <v>0</v>
          </cell>
          <cell r="K2102">
            <v>0</v>
          </cell>
        </row>
        <row r="2103">
          <cell r="A2103">
            <v>0</v>
          </cell>
          <cell r="K2103">
            <v>0</v>
          </cell>
        </row>
        <row r="2104">
          <cell r="A2104">
            <v>0</v>
          </cell>
          <cell r="K2104">
            <v>0</v>
          </cell>
        </row>
        <row r="2105">
          <cell r="A2105">
            <v>0</v>
          </cell>
          <cell r="K2105">
            <v>0</v>
          </cell>
        </row>
        <row r="2106">
          <cell r="A2106">
            <v>0</v>
          </cell>
          <cell r="K2106">
            <v>0</v>
          </cell>
        </row>
        <row r="2107">
          <cell r="A2107">
            <v>0</v>
          </cell>
          <cell r="K2107">
            <v>0</v>
          </cell>
        </row>
        <row r="2108">
          <cell r="A2108">
            <v>0</v>
          </cell>
          <cell r="K2108">
            <v>0</v>
          </cell>
        </row>
        <row r="2109">
          <cell r="A2109">
            <v>0</v>
          </cell>
          <cell r="K2109">
            <v>0</v>
          </cell>
        </row>
        <row r="2110">
          <cell r="A2110">
            <v>0</v>
          </cell>
          <cell r="K2110">
            <v>0</v>
          </cell>
        </row>
        <row r="2111">
          <cell r="A2111">
            <v>0</v>
          </cell>
          <cell r="K2111">
            <v>0</v>
          </cell>
        </row>
        <row r="2112">
          <cell r="A2112">
            <v>0</v>
          </cell>
          <cell r="K2112">
            <v>0</v>
          </cell>
        </row>
        <row r="2113">
          <cell r="A2113">
            <v>0</v>
          </cell>
          <cell r="K2113">
            <v>0</v>
          </cell>
        </row>
        <row r="2114">
          <cell r="A2114">
            <v>0</v>
          </cell>
          <cell r="K2114">
            <v>0</v>
          </cell>
        </row>
        <row r="2115">
          <cell r="A2115">
            <v>0</v>
          </cell>
          <cell r="K2115">
            <v>0</v>
          </cell>
        </row>
        <row r="2116">
          <cell r="A2116">
            <v>0</v>
          </cell>
          <cell r="K2116">
            <v>0</v>
          </cell>
        </row>
        <row r="2117">
          <cell r="A2117">
            <v>0</v>
          </cell>
          <cell r="K2117">
            <v>0</v>
          </cell>
        </row>
        <row r="2118">
          <cell r="A2118">
            <v>0</v>
          </cell>
          <cell r="K2118">
            <v>0</v>
          </cell>
        </row>
        <row r="2119">
          <cell r="A2119">
            <v>0</v>
          </cell>
          <cell r="K2119">
            <v>0</v>
          </cell>
        </row>
        <row r="2120">
          <cell r="A2120">
            <v>0</v>
          </cell>
          <cell r="K2120">
            <v>0</v>
          </cell>
        </row>
        <row r="2121">
          <cell r="A2121">
            <v>0</v>
          </cell>
          <cell r="K2121">
            <v>0</v>
          </cell>
        </row>
        <row r="2122">
          <cell r="A2122">
            <v>0</v>
          </cell>
          <cell r="K2122">
            <v>0</v>
          </cell>
        </row>
        <row r="2123">
          <cell r="A2123">
            <v>0</v>
          </cell>
          <cell r="K2123">
            <v>0</v>
          </cell>
        </row>
        <row r="2124">
          <cell r="A2124">
            <v>0</v>
          </cell>
          <cell r="K2124">
            <v>0</v>
          </cell>
        </row>
        <row r="2125">
          <cell r="A2125">
            <v>0</v>
          </cell>
          <cell r="K2125">
            <v>0</v>
          </cell>
        </row>
        <row r="2126">
          <cell r="A2126">
            <v>0</v>
          </cell>
          <cell r="K2126">
            <v>0</v>
          </cell>
        </row>
        <row r="2127">
          <cell r="A2127">
            <v>0</v>
          </cell>
          <cell r="K2127">
            <v>0</v>
          </cell>
        </row>
        <row r="2128">
          <cell r="A2128">
            <v>0</v>
          </cell>
          <cell r="K2128">
            <v>0</v>
          </cell>
        </row>
        <row r="2129">
          <cell r="A2129">
            <v>0</v>
          </cell>
          <cell r="K2129">
            <v>0</v>
          </cell>
        </row>
        <row r="2130">
          <cell r="A2130">
            <v>0</v>
          </cell>
          <cell r="K2130">
            <v>0</v>
          </cell>
        </row>
        <row r="2131">
          <cell r="A2131">
            <v>0</v>
          </cell>
          <cell r="K2131">
            <v>0</v>
          </cell>
        </row>
        <row r="2132">
          <cell r="A2132">
            <v>0</v>
          </cell>
          <cell r="K2132">
            <v>0</v>
          </cell>
        </row>
        <row r="2133">
          <cell r="A2133">
            <v>0</v>
          </cell>
          <cell r="K2133">
            <v>0</v>
          </cell>
        </row>
        <row r="2134">
          <cell r="A2134">
            <v>0</v>
          </cell>
          <cell r="K2134">
            <v>0</v>
          </cell>
        </row>
        <row r="2135">
          <cell r="A2135">
            <v>0</v>
          </cell>
          <cell r="K2135">
            <v>0</v>
          </cell>
        </row>
        <row r="2136">
          <cell r="A2136">
            <v>0</v>
          </cell>
          <cell r="K2136">
            <v>0</v>
          </cell>
        </row>
        <row r="2137">
          <cell r="A2137">
            <v>0</v>
          </cell>
          <cell r="K2137">
            <v>0</v>
          </cell>
        </row>
        <row r="2138">
          <cell r="A2138">
            <v>0</v>
          </cell>
          <cell r="K2138">
            <v>0</v>
          </cell>
        </row>
        <row r="2139">
          <cell r="A2139">
            <v>0</v>
          </cell>
          <cell r="K2139">
            <v>0</v>
          </cell>
        </row>
        <row r="2140">
          <cell r="A2140">
            <v>0</v>
          </cell>
          <cell r="K2140">
            <v>0</v>
          </cell>
        </row>
        <row r="2141">
          <cell r="A2141">
            <v>0</v>
          </cell>
          <cell r="K2141">
            <v>0</v>
          </cell>
        </row>
        <row r="2142">
          <cell r="A2142">
            <v>0</v>
          </cell>
          <cell r="K2142">
            <v>0</v>
          </cell>
        </row>
        <row r="2143">
          <cell r="A2143">
            <v>0</v>
          </cell>
          <cell r="K2143">
            <v>0</v>
          </cell>
        </row>
        <row r="2144">
          <cell r="A2144">
            <v>0</v>
          </cell>
          <cell r="K2144">
            <v>0</v>
          </cell>
        </row>
        <row r="2145">
          <cell r="A2145">
            <v>0</v>
          </cell>
          <cell r="K2145">
            <v>0</v>
          </cell>
        </row>
        <row r="2146">
          <cell r="A2146">
            <v>0</v>
          </cell>
          <cell r="K2146">
            <v>0</v>
          </cell>
        </row>
        <row r="2147">
          <cell r="A2147">
            <v>0</v>
          </cell>
          <cell r="K2147">
            <v>0</v>
          </cell>
        </row>
        <row r="2148">
          <cell r="A2148">
            <v>0</v>
          </cell>
          <cell r="K2148">
            <v>0</v>
          </cell>
        </row>
        <row r="2149">
          <cell r="A2149">
            <v>0</v>
          </cell>
          <cell r="K2149">
            <v>0</v>
          </cell>
        </row>
        <row r="2150">
          <cell r="A2150">
            <v>0</v>
          </cell>
          <cell r="K2150">
            <v>0</v>
          </cell>
        </row>
        <row r="2151">
          <cell r="A2151">
            <v>0</v>
          </cell>
          <cell r="K2151">
            <v>0</v>
          </cell>
        </row>
        <row r="2152">
          <cell r="A2152">
            <v>0</v>
          </cell>
          <cell r="K2152">
            <v>0</v>
          </cell>
        </row>
        <row r="2153">
          <cell r="A2153">
            <v>0</v>
          </cell>
          <cell r="K2153">
            <v>0</v>
          </cell>
        </row>
        <row r="2154">
          <cell r="A2154">
            <v>0</v>
          </cell>
          <cell r="K2154">
            <v>0</v>
          </cell>
        </row>
        <row r="2155">
          <cell r="A2155">
            <v>0</v>
          </cell>
          <cell r="K2155">
            <v>0</v>
          </cell>
        </row>
        <row r="2156">
          <cell r="A2156">
            <v>0</v>
          </cell>
          <cell r="K2156">
            <v>0</v>
          </cell>
        </row>
        <row r="2157">
          <cell r="A2157">
            <v>0</v>
          </cell>
          <cell r="K2157">
            <v>0</v>
          </cell>
        </row>
        <row r="2158">
          <cell r="A2158">
            <v>0</v>
          </cell>
          <cell r="K2158">
            <v>0</v>
          </cell>
        </row>
        <row r="2159">
          <cell r="A2159">
            <v>0</v>
          </cell>
          <cell r="K2159">
            <v>0</v>
          </cell>
        </row>
        <row r="2160">
          <cell r="A2160">
            <v>0</v>
          </cell>
          <cell r="K2160">
            <v>0</v>
          </cell>
        </row>
        <row r="2161">
          <cell r="A2161">
            <v>0</v>
          </cell>
          <cell r="K2161">
            <v>0</v>
          </cell>
        </row>
        <row r="2162">
          <cell r="A2162">
            <v>0</v>
          </cell>
          <cell r="K2162">
            <v>0</v>
          </cell>
        </row>
        <row r="2163">
          <cell r="A2163">
            <v>0</v>
          </cell>
          <cell r="K2163">
            <v>0</v>
          </cell>
        </row>
        <row r="2164">
          <cell r="A2164">
            <v>0</v>
          </cell>
          <cell r="K2164">
            <v>0</v>
          </cell>
        </row>
        <row r="2165">
          <cell r="A2165">
            <v>0</v>
          </cell>
          <cell r="K2165">
            <v>0</v>
          </cell>
        </row>
        <row r="2166">
          <cell r="A2166">
            <v>0</v>
          </cell>
          <cell r="K2166">
            <v>0</v>
          </cell>
        </row>
        <row r="2167">
          <cell r="A2167">
            <v>0</v>
          </cell>
          <cell r="K2167">
            <v>0</v>
          </cell>
        </row>
        <row r="2168">
          <cell r="A2168">
            <v>0</v>
          </cell>
          <cell r="K2168">
            <v>0</v>
          </cell>
        </row>
        <row r="2169">
          <cell r="A2169">
            <v>0</v>
          </cell>
          <cell r="K2169">
            <v>0</v>
          </cell>
        </row>
        <row r="2170">
          <cell r="A2170">
            <v>0</v>
          </cell>
          <cell r="K2170">
            <v>0</v>
          </cell>
        </row>
        <row r="2171">
          <cell r="A2171">
            <v>0</v>
          </cell>
          <cell r="K2171">
            <v>0</v>
          </cell>
        </row>
        <row r="2172">
          <cell r="A2172">
            <v>0</v>
          </cell>
          <cell r="K2172">
            <v>0</v>
          </cell>
        </row>
        <row r="2173">
          <cell r="A2173">
            <v>0</v>
          </cell>
          <cell r="K2173">
            <v>0</v>
          </cell>
        </row>
        <row r="2174">
          <cell r="A2174">
            <v>0</v>
          </cell>
          <cell r="K2174">
            <v>0</v>
          </cell>
        </row>
        <row r="2175">
          <cell r="A2175">
            <v>0</v>
          </cell>
          <cell r="K2175">
            <v>0</v>
          </cell>
        </row>
        <row r="2176">
          <cell r="A2176">
            <v>0</v>
          </cell>
          <cell r="K2176">
            <v>0</v>
          </cell>
        </row>
        <row r="2177">
          <cell r="A2177">
            <v>0</v>
          </cell>
          <cell r="K2177">
            <v>0</v>
          </cell>
        </row>
        <row r="2178">
          <cell r="A2178">
            <v>0</v>
          </cell>
          <cell r="K2178">
            <v>0</v>
          </cell>
        </row>
        <row r="2179">
          <cell r="A2179">
            <v>0</v>
          </cell>
          <cell r="K2179">
            <v>0</v>
          </cell>
        </row>
        <row r="2180">
          <cell r="A2180">
            <v>0</v>
          </cell>
          <cell r="K2180">
            <v>0</v>
          </cell>
        </row>
        <row r="2181">
          <cell r="A2181">
            <v>0</v>
          </cell>
          <cell r="K2181">
            <v>0</v>
          </cell>
        </row>
        <row r="2182">
          <cell r="A2182">
            <v>0</v>
          </cell>
          <cell r="K2182">
            <v>0</v>
          </cell>
        </row>
        <row r="2183">
          <cell r="A2183">
            <v>0</v>
          </cell>
          <cell r="K2183">
            <v>0</v>
          </cell>
        </row>
        <row r="2184">
          <cell r="A2184">
            <v>0</v>
          </cell>
          <cell r="K2184">
            <v>0</v>
          </cell>
        </row>
        <row r="2185">
          <cell r="A2185">
            <v>0</v>
          </cell>
          <cell r="K2185">
            <v>0</v>
          </cell>
        </row>
        <row r="2186">
          <cell r="A2186">
            <v>0</v>
          </cell>
          <cell r="K2186">
            <v>0</v>
          </cell>
        </row>
        <row r="2187">
          <cell r="A2187">
            <v>0</v>
          </cell>
          <cell r="K2187">
            <v>0</v>
          </cell>
        </row>
        <row r="2188">
          <cell r="A2188">
            <v>0</v>
          </cell>
          <cell r="K2188">
            <v>0</v>
          </cell>
        </row>
        <row r="2189">
          <cell r="A2189">
            <v>0</v>
          </cell>
          <cell r="K2189">
            <v>0</v>
          </cell>
        </row>
        <row r="2190">
          <cell r="A2190">
            <v>0</v>
          </cell>
          <cell r="K2190">
            <v>0</v>
          </cell>
        </row>
        <row r="2191">
          <cell r="A2191">
            <v>0</v>
          </cell>
          <cell r="K2191">
            <v>0</v>
          </cell>
        </row>
        <row r="2192">
          <cell r="A2192">
            <v>0</v>
          </cell>
          <cell r="K2192">
            <v>0</v>
          </cell>
        </row>
        <row r="2193">
          <cell r="A2193">
            <v>0</v>
          </cell>
          <cell r="K2193">
            <v>0</v>
          </cell>
        </row>
        <row r="2194">
          <cell r="A2194">
            <v>0</v>
          </cell>
          <cell r="K2194">
            <v>0</v>
          </cell>
        </row>
        <row r="2195">
          <cell r="A2195">
            <v>0</v>
          </cell>
          <cell r="K2195">
            <v>0</v>
          </cell>
        </row>
        <row r="2196">
          <cell r="A2196">
            <v>0</v>
          </cell>
          <cell r="K2196">
            <v>0</v>
          </cell>
        </row>
        <row r="2197">
          <cell r="A2197">
            <v>0</v>
          </cell>
          <cell r="K2197">
            <v>0</v>
          </cell>
        </row>
        <row r="2198">
          <cell r="A2198">
            <v>0</v>
          </cell>
          <cell r="K2198">
            <v>0</v>
          </cell>
        </row>
        <row r="2199">
          <cell r="A2199">
            <v>0</v>
          </cell>
          <cell r="K2199">
            <v>0</v>
          </cell>
        </row>
        <row r="2200">
          <cell r="A2200">
            <v>0</v>
          </cell>
          <cell r="K2200">
            <v>0</v>
          </cell>
        </row>
        <row r="2201">
          <cell r="A2201">
            <v>0</v>
          </cell>
          <cell r="K2201">
            <v>0</v>
          </cell>
        </row>
        <row r="2202">
          <cell r="A2202">
            <v>0</v>
          </cell>
          <cell r="K2202">
            <v>0</v>
          </cell>
        </row>
        <row r="2203">
          <cell r="A2203">
            <v>0</v>
          </cell>
          <cell r="K2203">
            <v>0</v>
          </cell>
        </row>
        <row r="2204">
          <cell r="A2204">
            <v>0</v>
          </cell>
          <cell r="K2204">
            <v>0</v>
          </cell>
        </row>
        <row r="2205">
          <cell r="A2205">
            <v>0</v>
          </cell>
          <cell r="K2205">
            <v>0</v>
          </cell>
        </row>
        <row r="2206">
          <cell r="A2206">
            <v>0</v>
          </cell>
          <cell r="K2206">
            <v>0</v>
          </cell>
        </row>
        <row r="2207">
          <cell r="A2207">
            <v>0</v>
          </cell>
          <cell r="K2207">
            <v>0</v>
          </cell>
        </row>
        <row r="2208">
          <cell r="A2208">
            <v>0</v>
          </cell>
          <cell r="K2208">
            <v>0</v>
          </cell>
        </row>
        <row r="2209">
          <cell r="A2209">
            <v>0</v>
          </cell>
          <cell r="K2209">
            <v>0</v>
          </cell>
        </row>
        <row r="2210">
          <cell r="A2210">
            <v>0</v>
          </cell>
          <cell r="K2210">
            <v>0</v>
          </cell>
        </row>
        <row r="2211">
          <cell r="A2211">
            <v>0</v>
          </cell>
          <cell r="K2211">
            <v>0</v>
          </cell>
        </row>
        <row r="2212">
          <cell r="A2212">
            <v>0</v>
          </cell>
          <cell r="K2212">
            <v>0</v>
          </cell>
        </row>
        <row r="2213">
          <cell r="A2213">
            <v>0</v>
          </cell>
          <cell r="K2213">
            <v>0</v>
          </cell>
        </row>
        <row r="2214">
          <cell r="A2214">
            <v>0</v>
          </cell>
          <cell r="K2214">
            <v>0</v>
          </cell>
        </row>
        <row r="2215">
          <cell r="A2215">
            <v>0</v>
          </cell>
          <cell r="K2215">
            <v>0</v>
          </cell>
        </row>
        <row r="2216">
          <cell r="A2216">
            <v>0</v>
          </cell>
          <cell r="K2216">
            <v>0</v>
          </cell>
        </row>
        <row r="2217">
          <cell r="A2217">
            <v>0</v>
          </cell>
          <cell r="K2217">
            <v>0</v>
          </cell>
        </row>
        <row r="2218">
          <cell r="A2218">
            <v>0</v>
          </cell>
          <cell r="K2218">
            <v>0</v>
          </cell>
        </row>
        <row r="2219">
          <cell r="A2219">
            <v>0</v>
          </cell>
          <cell r="K2219">
            <v>0</v>
          </cell>
        </row>
        <row r="2220">
          <cell r="A2220">
            <v>0</v>
          </cell>
          <cell r="K2220">
            <v>0</v>
          </cell>
        </row>
        <row r="2221">
          <cell r="A2221">
            <v>0</v>
          </cell>
          <cell r="K2221">
            <v>0</v>
          </cell>
        </row>
        <row r="2222">
          <cell r="A2222">
            <v>0</v>
          </cell>
          <cell r="K2222">
            <v>0</v>
          </cell>
        </row>
        <row r="2223">
          <cell r="A2223">
            <v>0</v>
          </cell>
          <cell r="K2223">
            <v>0</v>
          </cell>
        </row>
        <row r="2224">
          <cell r="A2224">
            <v>0</v>
          </cell>
          <cell r="K2224">
            <v>0</v>
          </cell>
        </row>
        <row r="2225">
          <cell r="A2225">
            <v>0</v>
          </cell>
          <cell r="K2225">
            <v>0</v>
          </cell>
        </row>
        <row r="2226">
          <cell r="A2226">
            <v>0</v>
          </cell>
          <cell r="K2226">
            <v>0</v>
          </cell>
        </row>
        <row r="2227">
          <cell r="A2227">
            <v>0</v>
          </cell>
          <cell r="K2227">
            <v>0</v>
          </cell>
        </row>
        <row r="2228">
          <cell r="A2228">
            <v>0</v>
          </cell>
          <cell r="K2228">
            <v>0</v>
          </cell>
        </row>
        <row r="2229">
          <cell r="A2229">
            <v>0</v>
          </cell>
          <cell r="K2229">
            <v>0</v>
          </cell>
        </row>
        <row r="2230">
          <cell r="A2230">
            <v>0</v>
          </cell>
          <cell r="K2230">
            <v>0</v>
          </cell>
        </row>
        <row r="2231">
          <cell r="A2231">
            <v>0</v>
          </cell>
          <cell r="K2231">
            <v>0</v>
          </cell>
        </row>
        <row r="2232">
          <cell r="A2232">
            <v>0</v>
          </cell>
          <cell r="K2232">
            <v>0</v>
          </cell>
        </row>
        <row r="2233">
          <cell r="A2233">
            <v>0</v>
          </cell>
          <cell r="K2233">
            <v>0</v>
          </cell>
        </row>
        <row r="2234">
          <cell r="A2234">
            <v>0</v>
          </cell>
          <cell r="K2234">
            <v>0</v>
          </cell>
        </row>
        <row r="2235">
          <cell r="A2235">
            <v>0</v>
          </cell>
          <cell r="K2235">
            <v>0</v>
          </cell>
        </row>
        <row r="2236">
          <cell r="A2236">
            <v>0</v>
          </cell>
          <cell r="K2236">
            <v>0</v>
          </cell>
        </row>
        <row r="2237">
          <cell r="A2237">
            <v>0</v>
          </cell>
          <cell r="K2237">
            <v>0</v>
          </cell>
        </row>
        <row r="2238">
          <cell r="A2238">
            <v>0</v>
          </cell>
          <cell r="K2238">
            <v>0</v>
          </cell>
        </row>
        <row r="2239">
          <cell r="A2239">
            <v>0</v>
          </cell>
          <cell r="K2239">
            <v>0</v>
          </cell>
        </row>
        <row r="2240">
          <cell r="A2240">
            <v>0</v>
          </cell>
          <cell r="K2240">
            <v>0</v>
          </cell>
        </row>
        <row r="2241">
          <cell r="A2241">
            <v>0</v>
          </cell>
          <cell r="K2241">
            <v>0</v>
          </cell>
        </row>
        <row r="2242">
          <cell r="A2242">
            <v>0</v>
          </cell>
          <cell r="K2242">
            <v>0</v>
          </cell>
        </row>
        <row r="2243">
          <cell r="A2243">
            <v>0</v>
          </cell>
          <cell r="K2243">
            <v>0</v>
          </cell>
        </row>
        <row r="2244">
          <cell r="A2244">
            <v>0</v>
          </cell>
          <cell r="K2244">
            <v>0</v>
          </cell>
        </row>
        <row r="2245">
          <cell r="A2245">
            <v>0</v>
          </cell>
          <cell r="K2245">
            <v>0</v>
          </cell>
        </row>
        <row r="2246">
          <cell r="A2246">
            <v>0</v>
          </cell>
          <cell r="K2246">
            <v>0</v>
          </cell>
        </row>
        <row r="2247">
          <cell r="A2247">
            <v>0</v>
          </cell>
          <cell r="K2247">
            <v>0</v>
          </cell>
        </row>
        <row r="2248">
          <cell r="A2248">
            <v>0</v>
          </cell>
          <cell r="K2248">
            <v>0</v>
          </cell>
        </row>
        <row r="2249">
          <cell r="A2249">
            <v>0</v>
          </cell>
          <cell r="K2249">
            <v>0</v>
          </cell>
        </row>
        <row r="2250">
          <cell r="A2250">
            <v>0</v>
          </cell>
          <cell r="K2250">
            <v>0</v>
          </cell>
        </row>
        <row r="2251">
          <cell r="A2251">
            <v>0</v>
          </cell>
          <cell r="K2251">
            <v>0</v>
          </cell>
        </row>
        <row r="2252">
          <cell r="A2252">
            <v>0</v>
          </cell>
          <cell r="K2252">
            <v>0</v>
          </cell>
        </row>
        <row r="2253">
          <cell r="A2253">
            <v>0</v>
          </cell>
          <cell r="K2253">
            <v>0</v>
          </cell>
        </row>
        <row r="2254">
          <cell r="A2254">
            <v>0</v>
          </cell>
          <cell r="K2254">
            <v>0</v>
          </cell>
        </row>
        <row r="2255">
          <cell r="A2255">
            <v>0</v>
          </cell>
          <cell r="K2255">
            <v>0</v>
          </cell>
        </row>
        <row r="2256">
          <cell r="A2256">
            <v>0</v>
          </cell>
          <cell r="K2256">
            <v>0</v>
          </cell>
        </row>
        <row r="2257">
          <cell r="A2257">
            <v>0</v>
          </cell>
          <cell r="K2257">
            <v>0</v>
          </cell>
        </row>
        <row r="2258">
          <cell r="A2258">
            <v>0</v>
          </cell>
          <cell r="K2258">
            <v>0</v>
          </cell>
        </row>
        <row r="2259">
          <cell r="A2259">
            <v>0</v>
          </cell>
          <cell r="K2259">
            <v>0</v>
          </cell>
        </row>
        <row r="2260">
          <cell r="A2260">
            <v>0</v>
          </cell>
          <cell r="K2260">
            <v>0</v>
          </cell>
        </row>
        <row r="2261">
          <cell r="A2261">
            <v>0</v>
          </cell>
          <cell r="K2261">
            <v>0</v>
          </cell>
        </row>
        <row r="2262">
          <cell r="A2262">
            <v>0</v>
          </cell>
          <cell r="K2262">
            <v>0</v>
          </cell>
        </row>
        <row r="2263">
          <cell r="A2263">
            <v>0</v>
          </cell>
          <cell r="K2263">
            <v>0</v>
          </cell>
        </row>
        <row r="2264">
          <cell r="A2264">
            <v>0</v>
          </cell>
          <cell r="K2264">
            <v>0</v>
          </cell>
        </row>
        <row r="2265">
          <cell r="A2265">
            <v>0</v>
          </cell>
          <cell r="K2265">
            <v>0</v>
          </cell>
        </row>
        <row r="2266">
          <cell r="A2266">
            <v>0</v>
          </cell>
          <cell r="K2266">
            <v>0</v>
          </cell>
        </row>
        <row r="2267">
          <cell r="A2267">
            <v>0</v>
          </cell>
          <cell r="K2267">
            <v>0</v>
          </cell>
        </row>
        <row r="2268">
          <cell r="A2268">
            <v>0</v>
          </cell>
          <cell r="K2268">
            <v>0</v>
          </cell>
        </row>
        <row r="2269">
          <cell r="A2269">
            <v>0</v>
          </cell>
          <cell r="K2269">
            <v>0</v>
          </cell>
        </row>
        <row r="2270">
          <cell r="A2270">
            <v>0</v>
          </cell>
          <cell r="K2270">
            <v>0</v>
          </cell>
        </row>
        <row r="2271">
          <cell r="A2271">
            <v>0</v>
          </cell>
          <cell r="K2271">
            <v>0</v>
          </cell>
        </row>
        <row r="2272">
          <cell r="A2272">
            <v>0</v>
          </cell>
          <cell r="K2272">
            <v>0</v>
          </cell>
        </row>
        <row r="2273">
          <cell r="A2273">
            <v>0</v>
          </cell>
          <cell r="K2273">
            <v>0</v>
          </cell>
        </row>
        <row r="2274">
          <cell r="A2274">
            <v>0</v>
          </cell>
          <cell r="K2274">
            <v>0</v>
          </cell>
        </row>
        <row r="2275">
          <cell r="A2275">
            <v>0</v>
          </cell>
          <cell r="K2275">
            <v>0</v>
          </cell>
        </row>
        <row r="2276">
          <cell r="A2276">
            <v>0</v>
          </cell>
          <cell r="K2276">
            <v>0</v>
          </cell>
        </row>
        <row r="2277">
          <cell r="A2277">
            <v>0</v>
          </cell>
          <cell r="K2277">
            <v>0</v>
          </cell>
        </row>
        <row r="2278">
          <cell r="A2278">
            <v>0</v>
          </cell>
          <cell r="K2278">
            <v>0</v>
          </cell>
        </row>
        <row r="2279">
          <cell r="A2279">
            <v>0</v>
          </cell>
          <cell r="K2279">
            <v>0</v>
          </cell>
        </row>
        <row r="2280">
          <cell r="A2280">
            <v>0</v>
          </cell>
          <cell r="K2280">
            <v>0</v>
          </cell>
        </row>
        <row r="2281">
          <cell r="A2281">
            <v>0</v>
          </cell>
          <cell r="K2281">
            <v>0</v>
          </cell>
        </row>
        <row r="2282">
          <cell r="A2282">
            <v>0</v>
          </cell>
          <cell r="K2282">
            <v>0</v>
          </cell>
        </row>
        <row r="2283">
          <cell r="A2283">
            <v>0</v>
          </cell>
          <cell r="K2283">
            <v>0</v>
          </cell>
        </row>
        <row r="2284">
          <cell r="A2284">
            <v>0</v>
          </cell>
          <cell r="K2284">
            <v>0</v>
          </cell>
        </row>
        <row r="2285">
          <cell r="A2285">
            <v>0</v>
          </cell>
          <cell r="K2285">
            <v>0</v>
          </cell>
        </row>
        <row r="2286">
          <cell r="A2286">
            <v>0</v>
          </cell>
          <cell r="K2286">
            <v>0</v>
          </cell>
        </row>
        <row r="2287">
          <cell r="A2287">
            <v>0</v>
          </cell>
          <cell r="K2287">
            <v>0</v>
          </cell>
        </row>
        <row r="2288">
          <cell r="A2288">
            <v>0</v>
          </cell>
          <cell r="K2288">
            <v>0</v>
          </cell>
        </row>
        <row r="2289">
          <cell r="A2289">
            <v>0</v>
          </cell>
          <cell r="K2289">
            <v>0</v>
          </cell>
        </row>
        <row r="2290">
          <cell r="A2290">
            <v>0</v>
          </cell>
          <cell r="K2290">
            <v>0</v>
          </cell>
        </row>
        <row r="2291">
          <cell r="A2291">
            <v>0</v>
          </cell>
          <cell r="K2291">
            <v>0</v>
          </cell>
        </row>
        <row r="2292">
          <cell r="A2292">
            <v>0</v>
          </cell>
          <cell r="K2292">
            <v>0</v>
          </cell>
        </row>
        <row r="2293">
          <cell r="A2293">
            <v>0</v>
          </cell>
          <cell r="K2293">
            <v>0</v>
          </cell>
        </row>
        <row r="2294">
          <cell r="A2294">
            <v>0</v>
          </cell>
          <cell r="K2294">
            <v>0</v>
          </cell>
        </row>
        <row r="2295">
          <cell r="A2295">
            <v>0</v>
          </cell>
          <cell r="K2295">
            <v>0</v>
          </cell>
        </row>
        <row r="2296">
          <cell r="A2296">
            <v>0</v>
          </cell>
          <cell r="K2296">
            <v>0</v>
          </cell>
        </row>
        <row r="2297">
          <cell r="A2297">
            <v>0</v>
          </cell>
          <cell r="K2297">
            <v>0</v>
          </cell>
        </row>
        <row r="2298">
          <cell r="A2298">
            <v>0</v>
          </cell>
          <cell r="K2298">
            <v>0</v>
          </cell>
        </row>
        <row r="2299">
          <cell r="A2299">
            <v>0</v>
          </cell>
          <cell r="K2299">
            <v>0</v>
          </cell>
        </row>
        <row r="2300">
          <cell r="A2300">
            <v>0</v>
          </cell>
          <cell r="K2300">
            <v>0</v>
          </cell>
        </row>
        <row r="2301">
          <cell r="A2301">
            <v>0</v>
          </cell>
          <cell r="K2301">
            <v>0</v>
          </cell>
        </row>
        <row r="2302">
          <cell r="A2302">
            <v>0</v>
          </cell>
          <cell r="K2302">
            <v>0</v>
          </cell>
        </row>
        <row r="2303">
          <cell r="A2303">
            <v>0</v>
          </cell>
          <cell r="K2303">
            <v>0</v>
          </cell>
        </row>
        <row r="2304">
          <cell r="A2304">
            <v>0</v>
          </cell>
          <cell r="K2304">
            <v>0</v>
          </cell>
        </row>
        <row r="2305">
          <cell r="A2305">
            <v>0</v>
          </cell>
          <cell r="K2305">
            <v>0</v>
          </cell>
        </row>
        <row r="2306">
          <cell r="A2306">
            <v>0</v>
          </cell>
          <cell r="K2306">
            <v>0</v>
          </cell>
        </row>
        <row r="2307">
          <cell r="A2307">
            <v>0</v>
          </cell>
          <cell r="K2307">
            <v>0</v>
          </cell>
        </row>
        <row r="2308">
          <cell r="A2308">
            <v>0</v>
          </cell>
          <cell r="K2308">
            <v>0</v>
          </cell>
        </row>
        <row r="2309">
          <cell r="A2309">
            <v>0</v>
          </cell>
          <cell r="K2309">
            <v>0</v>
          </cell>
        </row>
        <row r="2310">
          <cell r="A2310">
            <v>0</v>
          </cell>
          <cell r="K2310">
            <v>0</v>
          </cell>
        </row>
        <row r="2311">
          <cell r="A2311">
            <v>0</v>
          </cell>
          <cell r="K2311">
            <v>0</v>
          </cell>
        </row>
        <row r="2312">
          <cell r="A2312">
            <v>0</v>
          </cell>
          <cell r="K2312">
            <v>0</v>
          </cell>
        </row>
        <row r="2313">
          <cell r="A2313">
            <v>0</v>
          </cell>
          <cell r="K2313">
            <v>0</v>
          </cell>
        </row>
        <row r="2314">
          <cell r="A2314">
            <v>0</v>
          </cell>
          <cell r="K2314">
            <v>0</v>
          </cell>
        </row>
        <row r="2315">
          <cell r="A2315">
            <v>0</v>
          </cell>
          <cell r="K2315">
            <v>0</v>
          </cell>
        </row>
        <row r="2316">
          <cell r="A2316">
            <v>0</v>
          </cell>
          <cell r="K2316">
            <v>0</v>
          </cell>
        </row>
        <row r="2317">
          <cell r="A2317">
            <v>0</v>
          </cell>
          <cell r="K2317">
            <v>0</v>
          </cell>
        </row>
        <row r="2318">
          <cell r="A2318">
            <v>0</v>
          </cell>
          <cell r="K2318">
            <v>0</v>
          </cell>
        </row>
        <row r="2319">
          <cell r="A2319">
            <v>0</v>
          </cell>
          <cell r="K2319">
            <v>0</v>
          </cell>
        </row>
        <row r="2320">
          <cell r="A2320">
            <v>0</v>
          </cell>
          <cell r="K2320">
            <v>0</v>
          </cell>
        </row>
        <row r="2321">
          <cell r="A2321">
            <v>0</v>
          </cell>
          <cell r="K2321">
            <v>0</v>
          </cell>
        </row>
        <row r="2322">
          <cell r="A2322">
            <v>0</v>
          </cell>
          <cell r="K2322">
            <v>0</v>
          </cell>
        </row>
        <row r="2323">
          <cell r="A2323">
            <v>0</v>
          </cell>
          <cell r="K2323">
            <v>0</v>
          </cell>
        </row>
        <row r="2324">
          <cell r="A2324">
            <v>0</v>
          </cell>
          <cell r="K2324">
            <v>0</v>
          </cell>
        </row>
        <row r="2325">
          <cell r="A2325">
            <v>0</v>
          </cell>
          <cell r="K2325">
            <v>0</v>
          </cell>
        </row>
        <row r="2326">
          <cell r="A2326">
            <v>0</v>
          </cell>
          <cell r="K2326">
            <v>0</v>
          </cell>
        </row>
        <row r="2327">
          <cell r="A2327">
            <v>0</v>
          </cell>
          <cell r="K2327">
            <v>0</v>
          </cell>
        </row>
        <row r="2328">
          <cell r="A2328">
            <v>0</v>
          </cell>
          <cell r="K2328">
            <v>0</v>
          </cell>
        </row>
        <row r="2329">
          <cell r="A2329">
            <v>0</v>
          </cell>
          <cell r="K2329">
            <v>0</v>
          </cell>
        </row>
        <row r="2330">
          <cell r="A2330">
            <v>0</v>
          </cell>
          <cell r="K2330">
            <v>0</v>
          </cell>
        </row>
        <row r="2331">
          <cell r="A2331">
            <v>0</v>
          </cell>
          <cell r="K2331">
            <v>0</v>
          </cell>
        </row>
        <row r="2332">
          <cell r="A2332">
            <v>0</v>
          </cell>
          <cell r="K2332">
            <v>0</v>
          </cell>
        </row>
        <row r="2333">
          <cell r="A2333">
            <v>0</v>
          </cell>
          <cell r="K2333">
            <v>0</v>
          </cell>
        </row>
        <row r="2334">
          <cell r="A2334">
            <v>0</v>
          </cell>
          <cell r="K2334">
            <v>0</v>
          </cell>
        </row>
        <row r="2335">
          <cell r="A2335">
            <v>0</v>
          </cell>
          <cell r="K2335">
            <v>0</v>
          </cell>
        </row>
        <row r="2336">
          <cell r="A2336">
            <v>0</v>
          </cell>
          <cell r="K2336">
            <v>0</v>
          </cell>
        </row>
        <row r="2337">
          <cell r="A2337">
            <v>0</v>
          </cell>
          <cell r="K2337">
            <v>0</v>
          </cell>
        </row>
        <row r="2338">
          <cell r="A2338">
            <v>0</v>
          </cell>
          <cell r="K2338">
            <v>0</v>
          </cell>
        </row>
        <row r="2339">
          <cell r="A2339">
            <v>0</v>
          </cell>
          <cell r="K2339">
            <v>0</v>
          </cell>
        </row>
        <row r="2340">
          <cell r="A2340">
            <v>0</v>
          </cell>
          <cell r="K2340">
            <v>0</v>
          </cell>
        </row>
        <row r="2341">
          <cell r="A2341">
            <v>0</v>
          </cell>
          <cell r="K2341">
            <v>0</v>
          </cell>
        </row>
        <row r="2342">
          <cell r="A2342">
            <v>0</v>
          </cell>
          <cell r="K2342">
            <v>0</v>
          </cell>
        </row>
        <row r="2343">
          <cell r="A2343">
            <v>0</v>
          </cell>
          <cell r="K2343">
            <v>0</v>
          </cell>
        </row>
        <row r="2344">
          <cell r="A2344">
            <v>0</v>
          </cell>
          <cell r="K2344">
            <v>0</v>
          </cell>
        </row>
        <row r="2345">
          <cell r="A2345">
            <v>0</v>
          </cell>
          <cell r="K2345">
            <v>0</v>
          </cell>
        </row>
        <row r="2346">
          <cell r="A2346">
            <v>0</v>
          </cell>
          <cell r="K2346">
            <v>0</v>
          </cell>
        </row>
        <row r="2347">
          <cell r="A2347">
            <v>0</v>
          </cell>
          <cell r="K2347">
            <v>0</v>
          </cell>
        </row>
        <row r="2348">
          <cell r="A2348">
            <v>0</v>
          </cell>
          <cell r="K2348">
            <v>0</v>
          </cell>
        </row>
        <row r="2349">
          <cell r="A2349">
            <v>0</v>
          </cell>
          <cell r="K2349">
            <v>0</v>
          </cell>
        </row>
        <row r="2350">
          <cell r="A2350">
            <v>0</v>
          </cell>
          <cell r="K2350">
            <v>0</v>
          </cell>
        </row>
        <row r="2351">
          <cell r="A2351">
            <v>0</v>
          </cell>
          <cell r="K2351">
            <v>0</v>
          </cell>
        </row>
        <row r="2352">
          <cell r="A2352">
            <v>0</v>
          </cell>
          <cell r="K2352">
            <v>0</v>
          </cell>
        </row>
        <row r="2353">
          <cell r="A2353">
            <v>0</v>
          </cell>
          <cell r="K2353">
            <v>0</v>
          </cell>
        </row>
        <row r="2354">
          <cell r="A2354">
            <v>0</v>
          </cell>
          <cell r="K2354">
            <v>0</v>
          </cell>
        </row>
        <row r="2355">
          <cell r="A2355">
            <v>0</v>
          </cell>
          <cell r="K2355">
            <v>0</v>
          </cell>
        </row>
        <row r="2356">
          <cell r="A2356">
            <v>0</v>
          </cell>
          <cell r="K2356">
            <v>0</v>
          </cell>
        </row>
        <row r="2357">
          <cell r="A2357">
            <v>0</v>
          </cell>
          <cell r="K2357">
            <v>0</v>
          </cell>
        </row>
        <row r="2358">
          <cell r="A2358">
            <v>0</v>
          </cell>
          <cell r="K2358">
            <v>0</v>
          </cell>
        </row>
        <row r="2359">
          <cell r="A2359">
            <v>0</v>
          </cell>
          <cell r="K2359">
            <v>0</v>
          </cell>
        </row>
        <row r="2360">
          <cell r="A2360">
            <v>0</v>
          </cell>
          <cell r="K2360">
            <v>0</v>
          </cell>
        </row>
        <row r="2361">
          <cell r="A2361">
            <v>0</v>
          </cell>
          <cell r="K2361">
            <v>0</v>
          </cell>
        </row>
        <row r="2362">
          <cell r="A2362">
            <v>0</v>
          </cell>
          <cell r="K2362">
            <v>0</v>
          </cell>
        </row>
        <row r="2363">
          <cell r="A2363">
            <v>0</v>
          </cell>
          <cell r="K2363">
            <v>0</v>
          </cell>
        </row>
        <row r="2364">
          <cell r="A2364">
            <v>0</v>
          </cell>
          <cell r="K2364">
            <v>0</v>
          </cell>
        </row>
        <row r="2365">
          <cell r="A2365">
            <v>0</v>
          </cell>
          <cell r="K2365">
            <v>0</v>
          </cell>
        </row>
        <row r="2366">
          <cell r="A2366">
            <v>0</v>
          </cell>
          <cell r="K2366">
            <v>0</v>
          </cell>
        </row>
        <row r="2367">
          <cell r="A2367">
            <v>0</v>
          </cell>
          <cell r="K2367">
            <v>0</v>
          </cell>
        </row>
        <row r="2368">
          <cell r="A2368">
            <v>0</v>
          </cell>
          <cell r="K2368">
            <v>0</v>
          </cell>
        </row>
        <row r="2369">
          <cell r="A2369">
            <v>0</v>
          </cell>
          <cell r="K2369">
            <v>0</v>
          </cell>
        </row>
        <row r="2370">
          <cell r="A2370">
            <v>0</v>
          </cell>
          <cell r="K2370">
            <v>0</v>
          </cell>
        </row>
        <row r="2371">
          <cell r="A2371">
            <v>0</v>
          </cell>
          <cell r="K2371">
            <v>0</v>
          </cell>
        </row>
        <row r="2372">
          <cell r="A2372">
            <v>0</v>
          </cell>
          <cell r="K2372">
            <v>0</v>
          </cell>
        </row>
        <row r="2373">
          <cell r="A2373">
            <v>0</v>
          </cell>
          <cell r="K2373">
            <v>0</v>
          </cell>
        </row>
        <row r="2374">
          <cell r="A2374">
            <v>0</v>
          </cell>
          <cell r="K2374">
            <v>0</v>
          </cell>
        </row>
        <row r="2375">
          <cell r="A2375">
            <v>0</v>
          </cell>
          <cell r="K2375">
            <v>0</v>
          </cell>
        </row>
        <row r="2376">
          <cell r="A2376">
            <v>0</v>
          </cell>
          <cell r="K2376">
            <v>0</v>
          </cell>
        </row>
        <row r="2377">
          <cell r="A2377">
            <v>0</v>
          </cell>
          <cell r="K2377">
            <v>0</v>
          </cell>
        </row>
        <row r="2378">
          <cell r="A2378">
            <v>0</v>
          </cell>
          <cell r="K2378">
            <v>0</v>
          </cell>
        </row>
        <row r="2379">
          <cell r="A2379">
            <v>0</v>
          </cell>
          <cell r="K2379">
            <v>0</v>
          </cell>
        </row>
        <row r="2380">
          <cell r="A2380">
            <v>0</v>
          </cell>
          <cell r="K2380">
            <v>0</v>
          </cell>
        </row>
        <row r="2381">
          <cell r="A2381">
            <v>0</v>
          </cell>
          <cell r="K2381">
            <v>0</v>
          </cell>
        </row>
        <row r="2382">
          <cell r="A2382">
            <v>0</v>
          </cell>
          <cell r="K2382">
            <v>0</v>
          </cell>
        </row>
        <row r="2383">
          <cell r="A2383">
            <v>0</v>
          </cell>
          <cell r="K2383">
            <v>0</v>
          </cell>
        </row>
        <row r="2384">
          <cell r="A2384">
            <v>0</v>
          </cell>
          <cell r="K2384">
            <v>0</v>
          </cell>
        </row>
        <row r="2385">
          <cell r="A2385">
            <v>0</v>
          </cell>
          <cell r="K2385">
            <v>0</v>
          </cell>
        </row>
        <row r="2386">
          <cell r="A2386">
            <v>0</v>
          </cell>
          <cell r="K2386">
            <v>0</v>
          </cell>
        </row>
        <row r="2387">
          <cell r="A2387">
            <v>0</v>
          </cell>
          <cell r="K2387">
            <v>0</v>
          </cell>
        </row>
        <row r="2388">
          <cell r="A2388">
            <v>0</v>
          </cell>
          <cell r="K2388">
            <v>0</v>
          </cell>
        </row>
        <row r="2389">
          <cell r="A2389">
            <v>0</v>
          </cell>
          <cell r="K2389">
            <v>0</v>
          </cell>
        </row>
        <row r="2390">
          <cell r="A2390">
            <v>0</v>
          </cell>
          <cell r="K2390">
            <v>0</v>
          </cell>
        </row>
        <row r="2391">
          <cell r="A2391">
            <v>0</v>
          </cell>
          <cell r="K2391">
            <v>0</v>
          </cell>
        </row>
        <row r="2392">
          <cell r="A2392">
            <v>0</v>
          </cell>
          <cell r="K2392">
            <v>0</v>
          </cell>
        </row>
        <row r="2393">
          <cell r="A2393">
            <v>0</v>
          </cell>
          <cell r="K2393">
            <v>0</v>
          </cell>
        </row>
        <row r="2394">
          <cell r="A2394">
            <v>0</v>
          </cell>
          <cell r="K2394">
            <v>0</v>
          </cell>
        </row>
        <row r="2395">
          <cell r="A2395">
            <v>0</v>
          </cell>
          <cell r="K2395">
            <v>0</v>
          </cell>
        </row>
        <row r="2396">
          <cell r="A2396">
            <v>0</v>
          </cell>
          <cell r="K2396">
            <v>0</v>
          </cell>
        </row>
        <row r="2397">
          <cell r="A2397">
            <v>0</v>
          </cell>
          <cell r="K2397">
            <v>0</v>
          </cell>
        </row>
        <row r="2398">
          <cell r="A2398">
            <v>0</v>
          </cell>
          <cell r="K2398">
            <v>0</v>
          </cell>
        </row>
        <row r="2399">
          <cell r="A2399">
            <v>0</v>
          </cell>
          <cell r="K2399">
            <v>0</v>
          </cell>
        </row>
        <row r="2400">
          <cell r="A2400">
            <v>0</v>
          </cell>
          <cell r="K2400">
            <v>0</v>
          </cell>
        </row>
        <row r="2401">
          <cell r="A2401">
            <v>0</v>
          </cell>
          <cell r="K2401">
            <v>0</v>
          </cell>
        </row>
        <row r="2402">
          <cell r="A2402">
            <v>0</v>
          </cell>
          <cell r="K2402">
            <v>0</v>
          </cell>
        </row>
        <row r="2403">
          <cell r="A2403">
            <v>0</v>
          </cell>
          <cell r="K2403">
            <v>0</v>
          </cell>
        </row>
        <row r="2404">
          <cell r="A2404">
            <v>0</v>
          </cell>
          <cell r="K2404">
            <v>0</v>
          </cell>
        </row>
        <row r="2405">
          <cell r="A2405">
            <v>0</v>
          </cell>
          <cell r="K2405">
            <v>0</v>
          </cell>
        </row>
        <row r="2406">
          <cell r="A2406">
            <v>0</v>
          </cell>
          <cell r="K2406">
            <v>0</v>
          </cell>
        </row>
        <row r="2407">
          <cell r="A2407">
            <v>0</v>
          </cell>
          <cell r="K2407">
            <v>0</v>
          </cell>
        </row>
        <row r="2408">
          <cell r="A2408">
            <v>0</v>
          </cell>
          <cell r="K2408">
            <v>0</v>
          </cell>
        </row>
        <row r="2409">
          <cell r="A2409">
            <v>0</v>
          </cell>
          <cell r="K2409">
            <v>0</v>
          </cell>
        </row>
        <row r="2410">
          <cell r="A2410">
            <v>0</v>
          </cell>
          <cell r="K2410">
            <v>0</v>
          </cell>
        </row>
        <row r="2411">
          <cell r="A2411">
            <v>0</v>
          </cell>
          <cell r="K2411">
            <v>0</v>
          </cell>
        </row>
        <row r="2412">
          <cell r="A2412">
            <v>0</v>
          </cell>
          <cell r="K2412">
            <v>0</v>
          </cell>
        </row>
        <row r="2413">
          <cell r="A2413">
            <v>0</v>
          </cell>
          <cell r="K2413">
            <v>0</v>
          </cell>
        </row>
        <row r="2414">
          <cell r="A2414">
            <v>0</v>
          </cell>
          <cell r="K2414">
            <v>0</v>
          </cell>
        </row>
        <row r="2415">
          <cell r="A2415">
            <v>0</v>
          </cell>
          <cell r="K2415">
            <v>0</v>
          </cell>
        </row>
        <row r="2416">
          <cell r="A2416">
            <v>0</v>
          </cell>
          <cell r="K2416">
            <v>0</v>
          </cell>
        </row>
        <row r="2417">
          <cell r="A2417">
            <v>0</v>
          </cell>
          <cell r="K2417">
            <v>0</v>
          </cell>
        </row>
        <row r="2418">
          <cell r="A2418">
            <v>0</v>
          </cell>
          <cell r="K2418">
            <v>0</v>
          </cell>
        </row>
        <row r="2419">
          <cell r="A2419">
            <v>0</v>
          </cell>
          <cell r="K2419">
            <v>0</v>
          </cell>
        </row>
        <row r="2420">
          <cell r="A2420">
            <v>0</v>
          </cell>
          <cell r="K2420">
            <v>0</v>
          </cell>
        </row>
        <row r="2421">
          <cell r="A2421">
            <v>0</v>
          </cell>
          <cell r="K2421">
            <v>0</v>
          </cell>
        </row>
        <row r="2422">
          <cell r="A2422">
            <v>0</v>
          </cell>
          <cell r="K2422">
            <v>0</v>
          </cell>
        </row>
        <row r="2423">
          <cell r="A2423">
            <v>0</v>
          </cell>
          <cell r="K2423">
            <v>0</v>
          </cell>
        </row>
        <row r="2424">
          <cell r="A2424">
            <v>0</v>
          </cell>
          <cell r="K2424">
            <v>0</v>
          </cell>
        </row>
        <row r="2425">
          <cell r="A2425">
            <v>0</v>
          </cell>
          <cell r="K2425">
            <v>0</v>
          </cell>
        </row>
        <row r="2426">
          <cell r="A2426">
            <v>0</v>
          </cell>
          <cell r="K2426">
            <v>0</v>
          </cell>
        </row>
        <row r="2427">
          <cell r="A2427">
            <v>0</v>
          </cell>
          <cell r="K2427">
            <v>0</v>
          </cell>
        </row>
        <row r="2428">
          <cell r="A2428">
            <v>0</v>
          </cell>
          <cell r="K2428">
            <v>0</v>
          </cell>
        </row>
        <row r="2429">
          <cell r="A2429">
            <v>0</v>
          </cell>
          <cell r="K2429">
            <v>0</v>
          </cell>
        </row>
        <row r="2430">
          <cell r="A2430">
            <v>0</v>
          </cell>
          <cell r="K2430">
            <v>0</v>
          </cell>
        </row>
        <row r="2431">
          <cell r="A2431">
            <v>0</v>
          </cell>
          <cell r="K2431">
            <v>0</v>
          </cell>
        </row>
        <row r="2432">
          <cell r="A2432">
            <v>0</v>
          </cell>
          <cell r="K2432">
            <v>0</v>
          </cell>
        </row>
        <row r="2433">
          <cell r="A2433">
            <v>0</v>
          </cell>
          <cell r="K2433">
            <v>0</v>
          </cell>
        </row>
        <row r="2434">
          <cell r="A2434">
            <v>0</v>
          </cell>
          <cell r="K2434">
            <v>0</v>
          </cell>
        </row>
        <row r="2435">
          <cell r="A2435">
            <v>0</v>
          </cell>
          <cell r="K2435">
            <v>0</v>
          </cell>
        </row>
        <row r="2436">
          <cell r="A2436">
            <v>0</v>
          </cell>
          <cell r="K2436">
            <v>0</v>
          </cell>
        </row>
        <row r="2437">
          <cell r="A2437">
            <v>0</v>
          </cell>
          <cell r="K2437">
            <v>0</v>
          </cell>
        </row>
        <row r="2438">
          <cell r="A2438">
            <v>0</v>
          </cell>
          <cell r="K2438">
            <v>0</v>
          </cell>
        </row>
        <row r="2439">
          <cell r="A2439">
            <v>0</v>
          </cell>
          <cell r="K2439">
            <v>0</v>
          </cell>
        </row>
        <row r="2440">
          <cell r="A2440">
            <v>0</v>
          </cell>
          <cell r="K2440">
            <v>0</v>
          </cell>
        </row>
        <row r="2441">
          <cell r="A2441">
            <v>0</v>
          </cell>
          <cell r="K2441">
            <v>0</v>
          </cell>
        </row>
        <row r="2442">
          <cell r="A2442">
            <v>0</v>
          </cell>
          <cell r="K2442">
            <v>0</v>
          </cell>
        </row>
        <row r="2443">
          <cell r="A2443">
            <v>0</v>
          </cell>
          <cell r="K2443">
            <v>0</v>
          </cell>
        </row>
        <row r="2444">
          <cell r="A2444">
            <v>0</v>
          </cell>
          <cell r="K2444">
            <v>0</v>
          </cell>
        </row>
        <row r="2445">
          <cell r="A2445">
            <v>0</v>
          </cell>
          <cell r="K2445">
            <v>0</v>
          </cell>
        </row>
        <row r="2446">
          <cell r="A2446">
            <v>0</v>
          </cell>
          <cell r="K2446">
            <v>0</v>
          </cell>
        </row>
        <row r="2447">
          <cell r="A2447">
            <v>0</v>
          </cell>
          <cell r="K2447">
            <v>0</v>
          </cell>
        </row>
        <row r="2448">
          <cell r="A2448">
            <v>0</v>
          </cell>
          <cell r="K2448">
            <v>0</v>
          </cell>
        </row>
        <row r="2449">
          <cell r="A2449">
            <v>0</v>
          </cell>
          <cell r="K2449">
            <v>0</v>
          </cell>
        </row>
        <row r="2450">
          <cell r="A2450">
            <v>0</v>
          </cell>
          <cell r="K2450">
            <v>0</v>
          </cell>
        </row>
        <row r="2451">
          <cell r="A2451">
            <v>0</v>
          </cell>
          <cell r="K2451">
            <v>0</v>
          </cell>
        </row>
        <row r="2452">
          <cell r="A2452">
            <v>0</v>
          </cell>
          <cell r="K2452">
            <v>0</v>
          </cell>
        </row>
        <row r="2453">
          <cell r="A2453">
            <v>0</v>
          </cell>
          <cell r="K2453">
            <v>0</v>
          </cell>
        </row>
        <row r="2454">
          <cell r="A2454">
            <v>0</v>
          </cell>
          <cell r="K2454">
            <v>0</v>
          </cell>
        </row>
        <row r="2455">
          <cell r="A2455">
            <v>0</v>
          </cell>
          <cell r="K2455">
            <v>0</v>
          </cell>
        </row>
        <row r="2456">
          <cell r="A2456">
            <v>0</v>
          </cell>
          <cell r="K2456">
            <v>0</v>
          </cell>
        </row>
        <row r="2457">
          <cell r="A2457">
            <v>0</v>
          </cell>
          <cell r="K2457">
            <v>0</v>
          </cell>
        </row>
        <row r="2458">
          <cell r="A2458">
            <v>0</v>
          </cell>
          <cell r="K2458">
            <v>0</v>
          </cell>
        </row>
        <row r="2459">
          <cell r="A2459">
            <v>0</v>
          </cell>
          <cell r="K2459">
            <v>0</v>
          </cell>
        </row>
        <row r="2460">
          <cell r="A2460">
            <v>0</v>
          </cell>
          <cell r="K2460">
            <v>0</v>
          </cell>
        </row>
        <row r="2461">
          <cell r="A2461">
            <v>0</v>
          </cell>
          <cell r="K2461">
            <v>0</v>
          </cell>
        </row>
        <row r="2462">
          <cell r="A2462">
            <v>0</v>
          </cell>
          <cell r="K2462">
            <v>0</v>
          </cell>
        </row>
        <row r="2463">
          <cell r="A2463">
            <v>0</v>
          </cell>
          <cell r="K2463">
            <v>0</v>
          </cell>
        </row>
        <row r="2464">
          <cell r="A2464">
            <v>0</v>
          </cell>
          <cell r="K2464">
            <v>0</v>
          </cell>
        </row>
        <row r="2465">
          <cell r="A2465">
            <v>0</v>
          </cell>
          <cell r="K2465">
            <v>0</v>
          </cell>
        </row>
        <row r="2466">
          <cell r="A2466">
            <v>0</v>
          </cell>
          <cell r="K2466">
            <v>0</v>
          </cell>
        </row>
        <row r="2467">
          <cell r="A2467">
            <v>0</v>
          </cell>
          <cell r="K2467">
            <v>0</v>
          </cell>
        </row>
        <row r="2468">
          <cell r="A2468">
            <v>0</v>
          </cell>
          <cell r="K2468">
            <v>0</v>
          </cell>
        </row>
        <row r="2469">
          <cell r="A2469">
            <v>0</v>
          </cell>
          <cell r="K2469">
            <v>0</v>
          </cell>
        </row>
        <row r="2470">
          <cell r="A2470">
            <v>0</v>
          </cell>
          <cell r="K2470">
            <v>0</v>
          </cell>
        </row>
        <row r="2471">
          <cell r="A2471">
            <v>0</v>
          </cell>
          <cell r="K2471">
            <v>0</v>
          </cell>
        </row>
        <row r="2472">
          <cell r="A2472">
            <v>0</v>
          </cell>
          <cell r="K2472">
            <v>0</v>
          </cell>
        </row>
        <row r="2473">
          <cell r="A2473">
            <v>0</v>
          </cell>
          <cell r="K2473">
            <v>0</v>
          </cell>
        </row>
        <row r="2474">
          <cell r="A2474">
            <v>0</v>
          </cell>
          <cell r="K2474">
            <v>0</v>
          </cell>
        </row>
        <row r="2475">
          <cell r="A2475">
            <v>0</v>
          </cell>
          <cell r="K2475">
            <v>0</v>
          </cell>
        </row>
        <row r="2476">
          <cell r="A2476">
            <v>0</v>
          </cell>
          <cell r="K2476">
            <v>0</v>
          </cell>
        </row>
        <row r="2477">
          <cell r="A2477">
            <v>0</v>
          </cell>
          <cell r="K2477">
            <v>0</v>
          </cell>
        </row>
        <row r="2478">
          <cell r="A2478">
            <v>0</v>
          </cell>
          <cell r="K2478">
            <v>0</v>
          </cell>
        </row>
        <row r="2479">
          <cell r="A2479">
            <v>0</v>
          </cell>
          <cell r="K2479">
            <v>0</v>
          </cell>
        </row>
        <row r="2480">
          <cell r="A2480">
            <v>0</v>
          </cell>
          <cell r="K2480">
            <v>0</v>
          </cell>
        </row>
        <row r="2481">
          <cell r="A2481">
            <v>0</v>
          </cell>
          <cell r="K2481">
            <v>0</v>
          </cell>
        </row>
        <row r="2482">
          <cell r="A2482">
            <v>0</v>
          </cell>
          <cell r="K2482">
            <v>0</v>
          </cell>
        </row>
        <row r="2483">
          <cell r="A2483">
            <v>0</v>
          </cell>
          <cell r="K2483">
            <v>0</v>
          </cell>
        </row>
        <row r="2484">
          <cell r="A2484">
            <v>0</v>
          </cell>
          <cell r="K2484">
            <v>0</v>
          </cell>
        </row>
        <row r="2485">
          <cell r="A2485">
            <v>0</v>
          </cell>
          <cell r="K2485">
            <v>0</v>
          </cell>
        </row>
        <row r="2486">
          <cell r="A2486">
            <v>0</v>
          </cell>
          <cell r="K2486">
            <v>0</v>
          </cell>
        </row>
        <row r="2487">
          <cell r="A2487">
            <v>0</v>
          </cell>
          <cell r="K2487">
            <v>0</v>
          </cell>
        </row>
        <row r="2488">
          <cell r="A2488">
            <v>0</v>
          </cell>
          <cell r="K2488">
            <v>0</v>
          </cell>
        </row>
        <row r="2489">
          <cell r="A2489">
            <v>0</v>
          </cell>
          <cell r="K2489">
            <v>0</v>
          </cell>
        </row>
        <row r="2490">
          <cell r="A2490">
            <v>0</v>
          </cell>
          <cell r="K2490">
            <v>0</v>
          </cell>
        </row>
        <row r="2491">
          <cell r="A2491">
            <v>0</v>
          </cell>
          <cell r="K2491">
            <v>0</v>
          </cell>
        </row>
        <row r="2492">
          <cell r="A2492">
            <v>0</v>
          </cell>
          <cell r="K2492">
            <v>0</v>
          </cell>
        </row>
        <row r="2493">
          <cell r="A2493">
            <v>0</v>
          </cell>
          <cell r="K2493">
            <v>0</v>
          </cell>
        </row>
        <row r="2494">
          <cell r="A2494">
            <v>0</v>
          </cell>
          <cell r="K2494">
            <v>0</v>
          </cell>
        </row>
        <row r="2495">
          <cell r="A2495">
            <v>0</v>
          </cell>
          <cell r="K2495">
            <v>0</v>
          </cell>
        </row>
        <row r="2496">
          <cell r="A2496">
            <v>0</v>
          </cell>
          <cell r="K2496">
            <v>0</v>
          </cell>
        </row>
        <row r="2497">
          <cell r="A2497">
            <v>0</v>
          </cell>
          <cell r="K2497">
            <v>0</v>
          </cell>
        </row>
        <row r="2498">
          <cell r="A2498">
            <v>0</v>
          </cell>
          <cell r="K2498">
            <v>0</v>
          </cell>
        </row>
        <row r="2499">
          <cell r="A2499">
            <v>0</v>
          </cell>
          <cell r="K2499">
            <v>0</v>
          </cell>
        </row>
        <row r="2500">
          <cell r="A2500">
            <v>0</v>
          </cell>
          <cell r="K2500">
            <v>0</v>
          </cell>
        </row>
        <row r="2501">
          <cell r="A2501">
            <v>0</v>
          </cell>
          <cell r="K2501">
            <v>0</v>
          </cell>
        </row>
        <row r="2502">
          <cell r="A2502">
            <v>0</v>
          </cell>
          <cell r="K2502">
            <v>0</v>
          </cell>
        </row>
        <row r="2503">
          <cell r="A2503">
            <v>0</v>
          </cell>
          <cell r="K2503">
            <v>0</v>
          </cell>
        </row>
        <row r="2504">
          <cell r="A2504">
            <v>0</v>
          </cell>
          <cell r="K2504">
            <v>0</v>
          </cell>
        </row>
        <row r="2505">
          <cell r="A2505">
            <v>0</v>
          </cell>
          <cell r="K2505">
            <v>0</v>
          </cell>
        </row>
        <row r="2506">
          <cell r="A2506">
            <v>0</v>
          </cell>
          <cell r="K2506">
            <v>0</v>
          </cell>
        </row>
        <row r="2507">
          <cell r="A2507">
            <v>0</v>
          </cell>
          <cell r="K2507">
            <v>0</v>
          </cell>
        </row>
        <row r="2508">
          <cell r="A2508">
            <v>0</v>
          </cell>
          <cell r="K2508">
            <v>0</v>
          </cell>
        </row>
        <row r="2509">
          <cell r="A2509">
            <v>0</v>
          </cell>
          <cell r="K2509">
            <v>0</v>
          </cell>
        </row>
        <row r="2510">
          <cell r="A2510">
            <v>0</v>
          </cell>
          <cell r="K2510">
            <v>0</v>
          </cell>
        </row>
        <row r="2511">
          <cell r="A2511">
            <v>0</v>
          </cell>
          <cell r="K2511">
            <v>0</v>
          </cell>
        </row>
        <row r="2512">
          <cell r="A2512">
            <v>0</v>
          </cell>
          <cell r="K2512">
            <v>0</v>
          </cell>
        </row>
        <row r="2513">
          <cell r="A2513">
            <v>0</v>
          </cell>
          <cell r="K2513">
            <v>0</v>
          </cell>
        </row>
        <row r="2514">
          <cell r="A2514">
            <v>0</v>
          </cell>
          <cell r="K2514">
            <v>0</v>
          </cell>
        </row>
        <row r="2515">
          <cell r="A2515">
            <v>0</v>
          </cell>
          <cell r="K2515">
            <v>0</v>
          </cell>
        </row>
        <row r="2516">
          <cell r="A2516">
            <v>0</v>
          </cell>
          <cell r="K2516">
            <v>0</v>
          </cell>
        </row>
        <row r="2517">
          <cell r="A2517">
            <v>0</v>
          </cell>
          <cell r="K2517">
            <v>0</v>
          </cell>
        </row>
        <row r="2518">
          <cell r="A2518">
            <v>0</v>
          </cell>
          <cell r="K2518">
            <v>0</v>
          </cell>
        </row>
        <row r="2519">
          <cell r="A2519">
            <v>0</v>
          </cell>
          <cell r="K2519">
            <v>0</v>
          </cell>
        </row>
        <row r="2520">
          <cell r="A2520">
            <v>0</v>
          </cell>
          <cell r="K2520">
            <v>0</v>
          </cell>
        </row>
        <row r="2521">
          <cell r="A2521">
            <v>0</v>
          </cell>
          <cell r="K2521">
            <v>0</v>
          </cell>
        </row>
        <row r="2522">
          <cell r="A2522">
            <v>0</v>
          </cell>
          <cell r="K2522">
            <v>0</v>
          </cell>
        </row>
        <row r="2523">
          <cell r="A2523">
            <v>0</v>
          </cell>
          <cell r="K2523">
            <v>0</v>
          </cell>
        </row>
        <row r="2524">
          <cell r="A2524">
            <v>0</v>
          </cell>
          <cell r="K2524">
            <v>0</v>
          </cell>
        </row>
        <row r="2525">
          <cell r="A2525">
            <v>0</v>
          </cell>
          <cell r="K2525">
            <v>0</v>
          </cell>
        </row>
        <row r="2526">
          <cell r="A2526">
            <v>0</v>
          </cell>
          <cell r="K2526">
            <v>0</v>
          </cell>
        </row>
        <row r="2527">
          <cell r="A2527">
            <v>0</v>
          </cell>
          <cell r="K2527">
            <v>0</v>
          </cell>
        </row>
        <row r="2528">
          <cell r="A2528">
            <v>0</v>
          </cell>
          <cell r="K2528">
            <v>0</v>
          </cell>
        </row>
        <row r="2529">
          <cell r="A2529">
            <v>0</v>
          </cell>
          <cell r="K2529">
            <v>0</v>
          </cell>
        </row>
        <row r="2530">
          <cell r="A2530">
            <v>0</v>
          </cell>
          <cell r="K2530">
            <v>0</v>
          </cell>
        </row>
        <row r="2531">
          <cell r="A2531">
            <v>0</v>
          </cell>
          <cell r="K2531">
            <v>0</v>
          </cell>
        </row>
        <row r="2532">
          <cell r="A2532">
            <v>0</v>
          </cell>
          <cell r="K2532">
            <v>0</v>
          </cell>
        </row>
        <row r="2533">
          <cell r="A2533">
            <v>0</v>
          </cell>
          <cell r="K2533">
            <v>0</v>
          </cell>
        </row>
        <row r="2534">
          <cell r="A2534">
            <v>0</v>
          </cell>
          <cell r="K2534">
            <v>0</v>
          </cell>
        </row>
        <row r="2535">
          <cell r="A2535">
            <v>0</v>
          </cell>
          <cell r="K2535">
            <v>0</v>
          </cell>
        </row>
        <row r="2536">
          <cell r="A2536">
            <v>0</v>
          </cell>
          <cell r="K2536">
            <v>0</v>
          </cell>
        </row>
        <row r="2537">
          <cell r="A2537">
            <v>0</v>
          </cell>
          <cell r="K2537">
            <v>0</v>
          </cell>
        </row>
        <row r="2538">
          <cell r="A2538">
            <v>0</v>
          </cell>
          <cell r="K2538">
            <v>0</v>
          </cell>
        </row>
        <row r="2539">
          <cell r="A2539">
            <v>0</v>
          </cell>
          <cell r="K2539">
            <v>0</v>
          </cell>
        </row>
        <row r="2540">
          <cell r="A2540">
            <v>0</v>
          </cell>
          <cell r="K2540">
            <v>0</v>
          </cell>
        </row>
        <row r="2541">
          <cell r="A2541">
            <v>0</v>
          </cell>
          <cell r="K2541">
            <v>0</v>
          </cell>
        </row>
        <row r="2542">
          <cell r="A2542">
            <v>0</v>
          </cell>
          <cell r="K2542">
            <v>0</v>
          </cell>
        </row>
        <row r="2543">
          <cell r="A2543">
            <v>0</v>
          </cell>
          <cell r="K2543">
            <v>0</v>
          </cell>
        </row>
        <row r="2544">
          <cell r="A2544">
            <v>0</v>
          </cell>
          <cell r="K2544">
            <v>0</v>
          </cell>
        </row>
        <row r="2545">
          <cell r="A2545">
            <v>0</v>
          </cell>
          <cell r="K2545">
            <v>0</v>
          </cell>
        </row>
        <row r="2546">
          <cell r="A2546">
            <v>0</v>
          </cell>
          <cell r="K2546">
            <v>0</v>
          </cell>
        </row>
        <row r="2547">
          <cell r="A2547">
            <v>0</v>
          </cell>
          <cell r="K2547">
            <v>0</v>
          </cell>
        </row>
        <row r="2548">
          <cell r="A2548">
            <v>0</v>
          </cell>
          <cell r="K2548">
            <v>0</v>
          </cell>
        </row>
        <row r="2549">
          <cell r="A2549">
            <v>0</v>
          </cell>
          <cell r="K2549">
            <v>0</v>
          </cell>
        </row>
        <row r="2550">
          <cell r="A2550">
            <v>0</v>
          </cell>
          <cell r="K2550">
            <v>0</v>
          </cell>
        </row>
        <row r="2551">
          <cell r="A2551">
            <v>0</v>
          </cell>
          <cell r="K2551">
            <v>0</v>
          </cell>
        </row>
        <row r="2552">
          <cell r="A2552">
            <v>0</v>
          </cell>
          <cell r="K2552">
            <v>0</v>
          </cell>
        </row>
        <row r="2553">
          <cell r="A2553">
            <v>0</v>
          </cell>
          <cell r="K2553">
            <v>0</v>
          </cell>
        </row>
        <row r="2554">
          <cell r="A2554">
            <v>0</v>
          </cell>
          <cell r="K2554">
            <v>0</v>
          </cell>
        </row>
        <row r="2555">
          <cell r="A2555">
            <v>0</v>
          </cell>
          <cell r="K2555">
            <v>0</v>
          </cell>
        </row>
        <row r="2556">
          <cell r="A2556">
            <v>0</v>
          </cell>
          <cell r="K2556">
            <v>0</v>
          </cell>
        </row>
        <row r="2557">
          <cell r="A2557">
            <v>0</v>
          </cell>
          <cell r="K2557">
            <v>0</v>
          </cell>
        </row>
        <row r="2558">
          <cell r="A2558">
            <v>0</v>
          </cell>
          <cell r="K2558">
            <v>0</v>
          </cell>
        </row>
        <row r="2559">
          <cell r="A2559">
            <v>0</v>
          </cell>
          <cell r="K2559">
            <v>0</v>
          </cell>
        </row>
        <row r="2560">
          <cell r="A2560">
            <v>0</v>
          </cell>
          <cell r="K2560">
            <v>0</v>
          </cell>
        </row>
        <row r="2561">
          <cell r="A2561">
            <v>0</v>
          </cell>
          <cell r="K2561">
            <v>0</v>
          </cell>
        </row>
        <row r="2562">
          <cell r="A2562">
            <v>0</v>
          </cell>
          <cell r="K2562">
            <v>0</v>
          </cell>
        </row>
        <row r="2563">
          <cell r="A2563">
            <v>0</v>
          </cell>
          <cell r="K2563">
            <v>0</v>
          </cell>
        </row>
        <row r="2564">
          <cell r="A2564">
            <v>0</v>
          </cell>
          <cell r="K2564">
            <v>0</v>
          </cell>
        </row>
        <row r="2565">
          <cell r="A2565">
            <v>0</v>
          </cell>
          <cell r="K2565">
            <v>0</v>
          </cell>
        </row>
        <row r="2566">
          <cell r="A2566">
            <v>0</v>
          </cell>
          <cell r="K2566">
            <v>0</v>
          </cell>
        </row>
        <row r="2567">
          <cell r="A2567">
            <v>0</v>
          </cell>
          <cell r="K2567">
            <v>0</v>
          </cell>
        </row>
        <row r="2568">
          <cell r="A2568">
            <v>0</v>
          </cell>
          <cell r="K2568">
            <v>0</v>
          </cell>
        </row>
        <row r="2569">
          <cell r="A2569">
            <v>0</v>
          </cell>
          <cell r="K2569">
            <v>0</v>
          </cell>
        </row>
        <row r="2570">
          <cell r="A2570">
            <v>0</v>
          </cell>
          <cell r="K2570">
            <v>0</v>
          </cell>
        </row>
        <row r="2571">
          <cell r="A2571">
            <v>0</v>
          </cell>
          <cell r="K2571">
            <v>0</v>
          </cell>
        </row>
        <row r="2572">
          <cell r="A2572">
            <v>0</v>
          </cell>
          <cell r="K2572">
            <v>0</v>
          </cell>
        </row>
        <row r="2573">
          <cell r="A2573">
            <v>0</v>
          </cell>
          <cell r="K2573">
            <v>0</v>
          </cell>
        </row>
        <row r="2574">
          <cell r="A2574">
            <v>0</v>
          </cell>
          <cell r="K2574">
            <v>0</v>
          </cell>
        </row>
        <row r="2575">
          <cell r="A2575">
            <v>0</v>
          </cell>
          <cell r="K2575">
            <v>0</v>
          </cell>
        </row>
        <row r="2576">
          <cell r="A2576">
            <v>0</v>
          </cell>
          <cell r="K2576">
            <v>0</v>
          </cell>
        </row>
        <row r="2577">
          <cell r="A2577">
            <v>0</v>
          </cell>
          <cell r="K2577">
            <v>0</v>
          </cell>
        </row>
        <row r="2578">
          <cell r="A2578">
            <v>0</v>
          </cell>
          <cell r="K2578">
            <v>0</v>
          </cell>
        </row>
        <row r="2579">
          <cell r="A2579">
            <v>0</v>
          </cell>
          <cell r="K2579">
            <v>0</v>
          </cell>
        </row>
        <row r="2580">
          <cell r="A2580">
            <v>0</v>
          </cell>
          <cell r="K2580">
            <v>0</v>
          </cell>
        </row>
        <row r="2581">
          <cell r="A2581">
            <v>0</v>
          </cell>
          <cell r="K2581">
            <v>0</v>
          </cell>
        </row>
        <row r="2582">
          <cell r="A2582">
            <v>0</v>
          </cell>
          <cell r="K2582">
            <v>0</v>
          </cell>
        </row>
        <row r="2583">
          <cell r="A2583">
            <v>0</v>
          </cell>
          <cell r="K2583">
            <v>0</v>
          </cell>
        </row>
        <row r="2584">
          <cell r="A2584">
            <v>0</v>
          </cell>
          <cell r="K2584">
            <v>0</v>
          </cell>
        </row>
        <row r="2585">
          <cell r="A2585">
            <v>0</v>
          </cell>
          <cell r="K2585">
            <v>0</v>
          </cell>
        </row>
        <row r="2586">
          <cell r="A2586">
            <v>0</v>
          </cell>
          <cell r="K2586">
            <v>0</v>
          </cell>
        </row>
        <row r="2587">
          <cell r="A2587">
            <v>0</v>
          </cell>
          <cell r="K2587">
            <v>0</v>
          </cell>
        </row>
        <row r="2588">
          <cell r="A2588">
            <v>0</v>
          </cell>
          <cell r="K2588">
            <v>0</v>
          </cell>
        </row>
        <row r="2589">
          <cell r="A2589">
            <v>0</v>
          </cell>
          <cell r="K2589">
            <v>0</v>
          </cell>
        </row>
        <row r="2590">
          <cell r="A2590">
            <v>0</v>
          </cell>
          <cell r="K2590">
            <v>0</v>
          </cell>
        </row>
        <row r="2591">
          <cell r="A2591">
            <v>0</v>
          </cell>
          <cell r="K2591">
            <v>0</v>
          </cell>
        </row>
        <row r="2592">
          <cell r="A2592">
            <v>0</v>
          </cell>
          <cell r="K2592">
            <v>0</v>
          </cell>
        </row>
        <row r="2593">
          <cell r="A2593">
            <v>0</v>
          </cell>
          <cell r="K2593">
            <v>0</v>
          </cell>
        </row>
        <row r="2594">
          <cell r="A2594">
            <v>0</v>
          </cell>
          <cell r="K2594">
            <v>0</v>
          </cell>
        </row>
        <row r="2595">
          <cell r="A2595">
            <v>0</v>
          </cell>
          <cell r="K2595">
            <v>0</v>
          </cell>
        </row>
        <row r="2596">
          <cell r="A2596">
            <v>0</v>
          </cell>
          <cell r="K2596">
            <v>0</v>
          </cell>
        </row>
        <row r="2597">
          <cell r="A2597">
            <v>0</v>
          </cell>
          <cell r="K2597">
            <v>0</v>
          </cell>
        </row>
        <row r="2598">
          <cell r="A2598">
            <v>0</v>
          </cell>
          <cell r="K2598">
            <v>0</v>
          </cell>
        </row>
        <row r="2599">
          <cell r="A2599">
            <v>0</v>
          </cell>
          <cell r="K2599">
            <v>0</v>
          </cell>
        </row>
        <row r="2600">
          <cell r="A2600">
            <v>0</v>
          </cell>
          <cell r="K2600">
            <v>0</v>
          </cell>
        </row>
        <row r="2601">
          <cell r="A2601">
            <v>0</v>
          </cell>
          <cell r="K2601">
            <v>0</v>
          </cell>
        </row>
        <row r="2602">
          <cell r="A2602">
            <v>0</v>
          </cell>
          <cell r="K2602">
            <v>0</v>
          </cell>
        </row>
        <row r="2603">
          <cell r="A2603">
            <v>0</v>
          </cell>
          <cell r="K2603">
            <v>0</v>
          </cell>
        </row>
        <row r="2604">
          <cell r="A2604">
            <v>0</v>
          </cell>
          <cell r="K2604">
            <v>0</v>
          </cell>
        </row>
        <row r="2605">
          <cell r="A2605">
            <v>0</v>
          </cell>
          <cell r="K2605">
            <v>0</v>
          </cell>
        </row>
        <row r="2606">
          <cell r="A2606">
            <v>0</v>
          </cell>
          <cell r="K2606">
            <v>0</v>
          </cell>
        </row>
        <row r="2607">
          <cell r="A2607">
            <v>0</v>
          </cell>
          <cell r="K2607">
            <v>0</v>
          </cell>
        </row>
        <row r="2608">
          <cell r="A2608">
            <v>0</v>
          </cell>
          <cell r="K2608">
            <v>0</v>
          </cell>
        </row>
        <row r="2609">
          <cell r="A2609">
            <v>0</v>
          </cell>
          <cell r="K2609">
            <v>0</v>
          </cell>
        </row>
        <row r="2610">
          <cell r="A2610">
            <v>0</v>
          </cell>
          <cell r="K2610">
            <v>0</v>
          </cell>
        </row>
        <row r="2611">
          <cell r="A2611">
            <v>0</v>
          </cell>
          <cell r="K2611">
            <v>0</v>
          </cell>
        </row>
        <row r="2612">
          <cell r="A2612">
            <v>0</v>
          </cell>
          <cell r="K2612">
            <v>0</v>
          </cell>
        </row>
        <row r="2613">
          <cell r="A2613">
            <v>0</v>
          </cell>
          <cell r="K2613">
            <v>0</v>
          </cell>
        </row>
        <row r="2614">
          <cell r="A2614">
            <v>0</v>
          </cell>
          <cell r="K2614">
            <v>0</v>
          </cell>
        </row>
        <row r="2615">
          <cell r="A2615">
            <v>0</v>
          </cell>
          <cell r="K2615">
            <v>0</v>
          </cell>
        </row>
        <row r="2616">
          <cell r="A2616">
            <v>0</v>
          </cell>
          <cell r="K2616">
            <v>0</v>
          </cell>
        </row>
        <row r="2617">
          <cell r="A2617">
            <v>0</v>
          </cell>
          <cell r="K2617">
            <v>0</v>
          </cell>
        </row>
        <row r="2618">
          <cell r="A2618">
            <v>0</v>
          </cell>
          <cell r="K2618">
            <v>0</v>
          </cell>
        </row>
        <row r="2619">
          <cell r="A2619">
            <v>0</v>
          </cell>
          <cell r="K2619">
            <v>0</v>
          </cell>
        </row>
        <row r="2620">
          <cell r="A2620">
            <v>0</v>
          </cell>
          <cell r="K2620">
            <v>0</v>
          </cell>
        </row>
        <row r="2621">
          <cell r="A2621">
            <v>0</v>
          </cell>
          <cell r="K2621">
            <v>0</v>
          </cell>
        </row>
        <row r="2622">
          <cell r="A2622">
            <v>0</v>
          </cell>
          <cell r="K2622">
            <v>0</v>
          </cell>
        </row>
        <row r="2623">
          <cell r="A2623">
            <v>0</v>
          </cell>
          <cell r="K2623">
            <v>0</v>
          </cell>
        </row>
        <row r="2624">
          <cell r="A2624">
            <v>0</v>
          </cell>
          <cell r="K2624">
            <v>0</v>
          </cell>
        </row>
        <row r="2625">
          <cell r="A2625">
            <v>0</v>
          </cell>
          <cell r="K2625">
            <v>0</v>
          </cell>
        </row>
        <row r="2626">
          <cell r="A2626">
            <v>0</v>
          </cell>
          <cell r="K2626">
            <v>0</v>
          </cell>
        </row>
        <row r="2627">
          <cell r="A2627">
            <v>0</v>
          </cell>
          <cell r="K2627">
            <v>0</v>
          </cell>
        </row>
        <row r="2628">
          <cell r="A2628">
            <v>0</v>
          </cell>
          <cell r="K2628">
            <v>0</v>
          </cell>
        </row>
        <row r="2629">
          <cell r="A2629">
            <v>0</v>
          </cell>
          <cell r="K2629">
            <v>0</v>
          </cell>
        </row>
        <row r="2630">
          <cell r="A2630">
            <v>0</v>
          </cell>
          <cell r="K2630">
            <v>0</v>
          </cell>
        </row>
        <row r="2631">
          <cell r="A2631">
            <v>0</v>
          </cell>
          <cell r="K2631">
            <v>0</v>
          </cell>
        </row>
        <row r="2632">
          <cell r="A2632">
            <v>0</v>
          </cell>
          <cell r="K2632">
            <v>0</v>
          </cell>
        </row>
        <row r="2633">
          <cell r="A2633">
            <v>0</v>
          </cell>
          <cell r="K2633">
            <v>0</v>
          </cell>
        </row>
        <row r="2634">
          <cell r="A2634">
            <v>0</v>
          </cell>
          <cell r="K2634">
            <v>0</v>
          </cell>
        </row>
        <row r="2635">
          <cell r="A2635">
            <v>0</v>
          </cell>
          <cell r="K2635">
            <v>0</v>
          </cell>
        </row>
        <row r="2636">
          <cell r="A2636">
            <v>0</v>
          </cell>
          <cell r="K2636">
            <v>0</v>
          </cell>
        </row>
        <row r="2637">
          <cell r="A2637">
            <v>0</v>
          </cell>
          <cell r="K2637">
            <v>0</v>
          </cell>
        </row>
        <row r="2638">
          <cell r="A2638">
            <v>0</v>
          </cell>
          <cell r="K2638">
            <v>0</v>
          </cell>
        </row>
        <row r="2639">
          <cell r="A2639">
            <v>0</v>
          </cell>
          <cell r="K2639">
            <v>0</v>
          </cell>
        </row>
        <row r="2640">
          <cell r="A2640">
            <v>0</v>
          </cell>
          <cell r="K2640">
            <v>0</v>
          </cell>
        </row>
        <row r="2641">
          <cell r="A2641">
            <v>0</v>
          </cell>
          <cell r="K2641">
            <v>0</v>
          </cell>
        </row>
        <row r="2642">
          <cell r="A2642">
            <v>0</v>
          </cell>
          <cell r="K2642">
            <v>0</v>
          </cell>
        </row>
        <row r="2643">
          <cell r="A2643">
            <v>0</v>
          </cell>
          <cell r="K2643">
            <v>0</v>
          </cell>
        </row>
        <row r="2644">
          <cell r="A2644">
            <v>0</v>
          </cell>
          <cell r="K2644">
            <v>0</v>
          </cell>
        </row>
        <row r="2645">
          <cell r="A2645">
            <v>0</v>
          </cell>
          <cell r="K2645">
            <v>0</v>
          </cell>
        </row>
        <row r="2646">
          <cell r="A2646">
            <v>0</v>
          </cell>
          <cell r="K2646">
            <v>0</v>
          </cell>
        </row>
        <row r="2647">
          <cell r="A2647">
            <v>0</v>
          </cell>
          <cell r="K2647">
            <v>0</v>
          </cell>
        </row>
        <row r="2648">
          <cell r="A2648">
            <v>0</v>
          </cell>
          <cell r="K2648">
            <v>0</v>
          </cell>
        </row>
        <row r="2649">
          <cell r="A2649">
            <v>0</v>
          </cell>
          <cell r="K2649">
            <v>0</v>
          </cell>
        </row>
        <row r="2650">
          <cell r="A2650">
            <v>0</v>
          </cell>
          <cell r="K2650">
            <v>0</v>
          </cell>
        </row>
        <row r="2651">
          <cell r="A2651">
            <v>0</v>
          </cell>
          <cell r="K2651">
            <v>0</v>
          </cell>
        </row>
        <row r="2652">
          <cell r="A2652">
            <v>0</v>
          </cell>
          <cell r="K2652">
            <v>0</v>
          </cell>
        </row>
        <row r="2653">
          <cell r="A2653">
            <v>0</v>
          </cell>
          <cell r="K2653">
            <v>0</v>
          </cell>
        </row>
        <row r="2654">
          <cell r="A2654">
            <v>0</v>
          </cell>
          <cell r="K2654">
            <v>0</v>
          </cell>
        </row>
        <row r="2655">
          <cell r="A2655">
            <v>0</v>
          </cell>
          <cell r="K2655">
            <v>0</v>
          </cell>
        </row>
        <row r="2656">
          <cell r="A2656">
            <v>0</v>
          </cell>
          <cell r="K2656">
            <v>0</v>
          </cell>
        </row>
        <row r="2657">
          <cell r="A2657">
            <v>0</v>
          </cell>
          <cell r="K2657">
            <v>0</v>
          </cell>
        </row>
        <row r="2658">
          <cell r="A2658">
            <v>0</v>
          </cell>
          <cell r="K2658">
            <v>0</v>
          </cell>
        </row>
        <row r="2659">
          <cell r="A2659">
            <v>0</v>
          </cell>
          <cell r="K2659">
            <v>0</v>
          </cell>
        </row>
        <row r="2660">
          <cell r="A2660">
            <v>0</v>
          </cell>
          <cell r="K2660">
            <v>0</v>
          </cell>
        </row>
        <row r="2661">
          <cell r="A2661">
            <v>0</v>
          </cell>
          <cell r="K2661">
            <v>0</v>
          </cell>
        </row>
        <row r="2662">
          <cell r="A2662">
            <v>0</v>
          </cell>
          <cell r="K2662">
            <v>0</v>
          </cell>
        </row>
        <row r="2663">
          <cell r="A2663">
            <v>0</v>
          </cell>
          <cell r="K2663">
            <v>0</v>
          </cell>
        </row>
        <row r="2664">
          <cell r="A2664">
            <v>0</v>
          </cell>
          <cell r="K2664">
            <v>0</v>
          </cell>
        </row>
        <row r="2665">
          <cell r="A2665">
            <v>0</v>
          </cell>
          <cell r="K2665">
            <v>0</v>
          </cell>
        </row>
        <row r="2666">
          <cell r="A2666">
            <v>0</v>
          </cell>
          <cell r="K2666">
            <v>0</v>
          </cell>
        </row>
        <row r="2667">
          <cell r="A2667">
            <v>0</v>
          </cell>
          <cell r="K2667">
            <v>0</v>
          </cell>
        </row>
        <row r="2668">
          <cell r="A2668">
            <v>0</v>
          </cell>
          <cell r="K2668">
            <v>0</v>
          </cell>
        </row>
        <row r="2669">
          <cell r="A2669">
            <v>0</v>
          </cell>
          <cell r="K2669">
            <v>0</v>
          </cell>
        </row>
        <row r="2670">
          <cell r="A2670">
            <v>0</v>
          </cell>
          <cell r="K2670">
            <v>0</v>
          </cell>
        </row>
        <row r="2671">
          <cell r="A2671">
            <v>0</v>
          </cell>
          <cell r="K2671">
            <v>0</v>
          </cell>
        </row>
        <row r="2672">
          <cell r="A2672">
            <v>0</v>
          </cell>
          <cell r="K2672">
            <v>0</v>
          </cell>
        </row>
        <row r="2673">
          <cell r="A2673">
            <v>0</v>
          </cell>
          <cell r="K2673">
            <v>0</v>
          </cell>
        </row>
        <row r="2674">
          <cell r="A2674">
            <v>0</v>
          </cell>
          <cell r="K2674">
            <v>0</v>
          </cell>
        </row>
        <row r="2675">
          <cell r="A2675">
            <v>0</v>
          </cell>
          <cell r="K2675">
            <v>0</v>
          </cell>
        </row>
        <row r="2676">
          <cell r="A2676">
            <v>0</v>
          </cell>
          <cell r="K2676">
            <v>0</v>
          </cell>
        </row>
        <row r="2677">
          <cell r="A2677">
            <v>0</v>
          </cell>
          <cell r="K2677">
            <v>0</v>
          </cell>
        </row>
        <row r="2678">
          <cell r="A2678">
            <v>0</v>
          </cell>
          <cell r="K2678">
            <v>0</v>
          </cell>
        </row>
        <row r="2679">
          <cell r="A2679">
            <v>0</v>
          </cell>
          <cell r="K2679">
            <v>0</v>
          </cell>
        </row>
        <row r="2680">
          <cell r="A2680">
            <v>0</v>
          </cell>
          <cell r="K2680">
            <v>0</v>
          </cell>
        </row>
        <row r="2681">
          <cell r="A2681">
            <v>0</v>
          </cell>
          <cell r="K2681">
            <v>0</v>
          </cell>
        </row>
        <row r="2682">
          <cell r="A2682">
            <v>0</v>
          </cell>
          <cell r="K2682">
            <v>0</v>
          </cell>
        </row>
        <row r="2683">
          <cell r="A2683">
            <v>0</v>
          </cell>
          <cell r="K2683">
            <v>0</v>
          </cell>
        </row>
        <row r="2684">
          <cell r="A2684">
            <v>0</v>
          </cell>
          <cell r="K2684">
            <v>0</v>
          </cell>
        </row>
        <row r="2685">
          <cell r="A2685">
            <v>0</v>
          </cell>
          <cell r="K2685">
            <v>0</v>
          </cell>
        </row>
        <row r="2686">
          <cell r="A2686">
            <v>0</v>
          </cell>
          <cell r="K2686">
            <v>0</v>
          </cell>
        </row>
        <row r="2687">
          <cell r="A2687">
            <v>0</v>
          </cell>
          <cell r="K2687">
            <v>0</v>
          </cell>
        </row>
        <row r="2688">
          <cell r="A2688">
            <v>0</v>
          </cell>
          <cell r="K2688">
            <v>0</v>
          </cell>
        </row>
        <row r="2689">
          <cell r="A2689">
            <v>0</v>
          </cell>
          <cell r="K2689">
            <v>0</v>
          </cell>
        </row>
        <row r="2690">
          <cell r="A2690">
            <v>0</v>
          </cell>
          <cell r="K2690">
            <v>0</v>
          </cell>
        </row>
        <row r="2691">
          <cell r="A2691">
            <v>0</v>
          </cell>
          <cell r="K2691">
            <v>0</v>
          </cell>
        </row>
        <row r="2692">
          <cell r="A2692">
            <v>0</v>
          </cell>
          <cell r="K2692">
            <v>0</v>
          </cell>
        </row>
        <row r="2693">
          <cell r="A2693">
            <v>0</v>
          </cell>
          <cell r="K2693">
            <v>0</v>
          </cell>
        </row>
        <row r="2694">
          <cell r="A2694">
            <v>0</v>
          </cell>
          <cell r="K2694">
            <v>0</v>
          </cell>
        </row>
        <row r="2695">
          <cell r="A2695">
            <v>0</v>
          </cell>
          <cell r="K2695">
            <v>0</v>
          </cell>
        </row>
        <row r="2696">
          <cell r="A2696">
            <v>0</v>
          </cell>
          <cell r="K2696">
            <v>0</v>
          </cell>
        </row>
        <row r="2697">
          <cell r="A2697">
            <v>0</v>
          </cell>
          <cell r="K2697">
            <v>0</v>
          </cell>
        </row>
        <row r="2698">
          <cell r="A2698">
            <v>0</v>
          </cell>
          <cell r="K2698">
            <v>0</v>
          </cell>
        </row>
        <row r="2699">
          <cell r="A2699">
            <v>0</v>
          </cell>
          <cell r="K2699">
            <v>0</v>
          </cell>
        </row>
        <row r="2700">
          <cell r="A2700">
            <v>0</v>
          </cell>
          <cell r="K2700">
            <v>0</v>
          </cell>
        </row>
        <row r="2701">
          <cell r="A2701">
            <v>0</v>
          </cell>
          <cell r="K2701">
            <v>0</v>
          </cell>
        </row>
        <row r="2702">
          <cell r="A2702">
            <v>0</v>
          </cell>
          <cell r="K2702">
            <v>0</v>
          </cell>
        </row>
        <row r="2703">
          <cell r="A2703">
            <v>0</v>
          </cell>
          <cell r="K2703">
            <v>0</v>
          </cell>
        </row>
        <row r="2704">
          <cell r="A2704">
            <v>0</v>
          </cell>
          <cell r="K2704">
            <v>0</v>
          </cell>
        </row>
        <row r="2705">
          <cell r="A2705">
            <v>0</v>
          </cell>
          <cell r="K2705">
            <v>0</v>
          </cell>
        </row>
        <row r="2706">
          <cell r="A2706">
            <v>0</v>
          </cell>
          <cell r="K2706">
            <v>0</v>
          </cell>
        </row>
        <row r="2707">
          <cell r="A2707">
            <v>0</v>
          </cell>
          <cell r="K2707">
            <v>0</v>
          </cell>
        </row>
        <row r="2708">
          <cell r="A2708">
            <v>0</v>
          </cell>
          <cell r="K2708">
            <v>0</v>
          </cell>
        </row>
        <row r="2709">
          <cell r="A2709">
            <v>0</v>
          </cell>
          <cell r="K2709">
            <v>0</v>
          </cell>
        </row>
        <row r="2710">
          <cell r="A2710">
            <v>0</v>
          </cell>
          <cell r="K2710">
            <v>0</v>
          </cell>
        </row>
        <row r="2711">
          <cell r="A2711">
            <v>0</v>
          </cell>
          <cell r="K2711">
            <v>0</v>
          </cell>
        </row>
        <row r="2712">
          <cell r="A2712">
            <v>0</v>
          </cell>
          <cell r="K2712">
            <v>0</v>
          </cell>
        </row>
        <row r="2713">
          <cell r="A2713">
            <v>0</v>
          </cell>
          <cell r="K2713">
            <v>0</v>
          </cell>
        </row>
        <row r="2714">
          <cell r="A2714">
            <v>0</v>
          </cell>
          <cell r="K2714">
            <v>0</v>
          </cell>
        </row>
        <row r="2715">
          <cell r="A2715">
            <v>0</v>
          </cell>
          <cell r="K2715">
            <v>0</v>
          </cell>
        </row>
        <row r="2716">
          <cell r="A2716">
            <v>0</v>
          </cell>
          <cell r="K2716">
            <v>0</v>
          </cell>
        </row>
        <row r="2717">
          <cell r="A2717">
            <v>0</v>
          </cell>
          <cell r="K2717">
            <v>0</v>
          </cell>
        </row>
        <row r="2718">
          <cell r="A2718">
            <v>0</v>
          </cell>
          <cell r="K2718">
            <v>0</v>
          </cell>
        </row>
        <row r="2719">
          <cell r="A2719">
            <v>0</v>
          </cell>
          <cell r="K2719">
            <v>0</v>
          </cell>
        </row>
        <row r="2720">
          <cell r="A2720">
            <v>0</v>
          </cell>
          <cell r="K2720">
            <v>0</v>
          </cell>
        </row>
        <row r="2721">
          <cell r="A2721">
            <v>0</v>
          </cell>
          <cell r="K2721">
            <v>0</v>
          </cell>
        </row>
        <row r="2722">
          <cell r="A2722">
            <v>0</v>
          </cell>
          <cell r="K2722">
            <v>0</v>
          </cell>
        </row>
        <row r="2723">
          <cell r="A2723">
            <v>0</v>
          </cell>
          <cell r="K2723">
            <v>0</v>
          </cell>
        </row>
        <row r="2724">
          <cell r="A2724">
            <v>0</v>
          </cell>
          <cell r="K2724">
            <v>0</v>
          </cell>
        </row>
        <row r="2725">
          <cell r="A2725">
            <v>0</v>
          </cell>
          <cell r="K2725">
            <v>0</v>
          </cell>
        </row>
        <row r="2726">
          <cell r="A2726">
            <v>0</v>
          </cell>
          <cell r="K2726">
            <v>0</v>
          </cell>
        </row>
        <row r="2727">
          <cell r="A2727">
            <v>0</v>
          </cell>
          <cell r="K2727">
            <v>0</v>
          </cell>
        </row>
        <row r="2728">
          <cell r="A2728">
            <v>0</v>
          </cell>
          <cell r="K2728">
            <v>0</v>
          </cell>
        </row>
        <row r="2729">
          <cell r="A2729">
            <v>0</v>
          </cell>
          <cell r="K2729">
            <v>0</v>
          </cell>
        </row>
        <row r="2730">
          <cell r="A2730">
            <v>0</v>
          </cell>
          <cell r="K2730">
            <v>0</v>
          </cell>
        </row>
        <row r="2731">
          <cell r="A2731">
            <v>0</v>
          </cell>
          <cell r="K2731">
            <v>0</v>
          </cell>
        </row>
        <row r="2732">
          <cell r="A2732">
            <v>0</v>
          </cell>
          <cell r="K2732">
            <v>0</v>
          </cell>
        </row>
        <row r="2733">
          <cell r="A2733">
            <v>0</v>
          </cell>
          <cell r="K2733">
            <v>0</v>
          </cell>
        </row>
        <row r="2734">
          <cell r="A2734">
            <v>0</v>
          </cell>
          <cell r="K2734">
            <v>0</v>
          </cell>
        </row>
        <row r="2735">
          <cell r="A2735">
            <v>0</v>
          </cell>
          <cell r="K2735">
            <v>0</v>
          </cell>
        </row>
        <row r="2736">
          <cell r="A2736">
            <v>0</v>
          </cell>
          <cell r="K2736">
            <v>0</v>
          </cell>
        </row>
        <row r="2737">
          <cell r="A2737">
            <v>0</v>
          </cell>
          <cell r="K2737">
            <v>0</v>
          </cell>
        </row>
        <row r="2738">
          <cell r="A2738">
            <v>0</v>
          </cell>
          <cell r="K2738">
            <v>0</v>
          </cell>
        </row>
        <row r="2739">
          <cell r="A2739">
            <v>0</v>
          </cell>
          <cell r="K2739">
            <v>0</v>
          </cell>
        </row>
        <row r="2740">
          <cell r="A2740">
            <v>0</v>
          </cell>
          <cell r="K2740">
            <v>0</v>
          </cell>
        </row>
        <row r="2741">
          <cell r="A2741">
            <v>0</v>
          </cell>
          <cell r="K2741">
            <v>0</v>
          </cell>
        </row>
        <row r="2742">
          <cell r="A2742">
            <v>0</v>
          </cell>
          <cell r="K2742">
            <v>0</v>
          </cell>
        </row>
        <row r="2743">
          <cell r="A2743">
            <v>0</v>
          </cell>
          <cell r="K2743">
            <v>0</v>
          </cell>
        </row>
        <row r="2744">
          <cell r="A2744">
            <v>0</v>
          </cell>
          <cell r="K2744">
            <v>0</v>
          </cell>
        </row>
        <row r="2745">
          <cell r="A2745">
            <v>0</v>
          </cell>
          <cell r="K2745">
            <v>0</v>
          </cell>
        </row>
        <row r="2746">
          <cell r="A2746">
            <v>0</v>
          </cell>
          <cell r="K2746">
            <v>0</v>
          </cell>
        </row>
        <row r="2747">
          <cell r="A2747">
            <v>0</v>
          </cell>
          <cell r="K2747">
            <v>0</v>
          </cell>
        </row>
        <row r="2748">
          <cell r="A2748">
            <v>0</v>
          </cell>
          <cell r="K2748">
            <v>0</v>
          </cell>
        </row>
        <row r="2749">
          <cell r="A2749">
            <v>0</v>
          </cell>
          <cell r="K2749">
            <v>0</v>
          </cell>
        </row>
        <row r="2750">
          <cell r="A2750">
            <v>0</v>
          </cell>
          <cell r="K2750">
            <v>0</v>
          </cell>
        </row>
        <row r="2751">
          <cell r="A2751">
            <v>0</v>
          </cell>
          <cell r="K2751">
            <v>0</v>
          </cell>
        </row>
        <row r="2752">
          <cell r="A2752">
            <v>0</v>
          </cell>
          <cell r="K2752">
            <v>0</v>
          </cell>
        </row>
        <row r="2753">
          <cell r="A2753">
            <v>0</v>
          </cell>
          <cell r="K2753">
            <v>0</v>
          </cell>
        </row>
        <row r="2754">
          <cell r="A2754">
            <v>0</v>
          </cell>
          <cell r="K2754">
            <v>0</v>
          </cell>
        </row>
        <row r="2755">
          <cell r="A2755">
            <v>0</v>
          </cell>
          <cell r="K2755">
            <v>0</v>
          </cell>
        </row>
        <row r="2756">
          <cell r="A2756">
            <v>0</v>
          </cell>
          <cell r="K2756">
            <v>0</v>
          </cell>
        </row>
        <row r="2757">
          <cell r="A2757">
            <v>0</v>
          </cell>
          <cell r="K2757">
            <v>0</v>
          </cell>
        </row>
        <row r="2758">
          <cell r="A2758">
            <v>0</v>
          </cell>
          <cell r="K2758">
            <v>0</v>
          </cell>
        </row>
        <row r="2759">
          <cell r="A2759">
            <v>0</v>
          </cell>
          <cell r="K2759">
            <v>0</v>
          </cell>
        </row>
        <row r="2760">
          <cell r="A2760">
            <v>0</v>
          </cell>
          <cell r="K2760">
            <v>0</v>
          </cell>
        </row>
        <row r="2761">
          <cell r="A2761">
            <v>0</v>
          </cell>
          <cell r="K2761">
            <v>0</v>
          </cell>
        </row>
        <row r="2762">
          <cell r="A2762">
            <v>0</v>
          </cell>
          <cell r="K2762">
            <v>0</v>
          </cell>
        </row>
        <row r="2763">
          <cell r="A2763">
            <v>0</v>
          </cell>
          <cell r="K2763">
            <v>0</v>
          </cell>
        </row>
        <row r="2764">
          <cell r="A2764">
            <v>0</v>
          </cell>
          <cell r="K2764">
            <v>0</v>
          </cell>
        </row>
        <row r="2765">
          <cell r="A2765">
            <v>0</v>
          </cell>
          <cell r="K2765">
            <v>0</v>
          </cell>
        </row>
        <row r="2766">
          <cell r="A2766">
            <v>0</v>
          </cell>
          <cell r="K2766">
            <v>0</v>
          </cell>
        </row>
        <row r="2767">
          <cell r="A2767">
            <v>0</v>
          </cell>
          <cell r="K2767">
            <v>0</v>
          </cell>
        </row>
        <row r="2768">
          <cell r="A2768">
            <v>0</v>
          </cell>
          <cell r="K2768">
            <v>0</v>
          </cell>
        </row>
        <row r="2769">
          <cell r="A2769">
            <v>0</v>
          </cell>
          <cell r="K2769">
            <v>0</v>
          </cell>
        </row>
        <row r="2770">
          <cell r="A2770">
            <v>0</v>
          </cell>
          <cell r="K2770">
            <v>0</v>
          </cell>
        </row>
        <row r="2771">
          <cell r="A2771">
            <v>0</v>
          </cell>
          <cell r="K2771">
            <v>0</v>
          </cell>
        </row>
        <row r="2772">
          <cell r="A2772">
            <v>0</v>
          </cell>
          <cell r="K2772">
            <v>0</v>
          </cell>
        </row>
        <row r="2773">
          <cell r="A2773">
            <v>0</v>
          </cell>
          <cell r="K2773">
            <v>0</v>
          </cell>
        </row>
        <row r="2774">
          <cell r="A2774">
            <v>0</v>
          </cell>
          <cell r="K2774">
            <v>0</v>
          </cell>
        </row>
        <row r="2775">
          <cell r="A2775">
            <v>0</v>
          </cell>
          <cell r="K2775">
            <v>0</v>
          </cell>
        </row>
        <row r="2776">
          <cell r="A2776">
            <v>0</v>
          </cell>
          <cell r="K2776">
            <v>0</v>
          </cell>
        </row>
        <row r="2777">
          <cell r="A2777">
            <v>0</v>
          </cell>
          <cell r="K2777">
            <v>0</v>
          </cell>
        </row>
        <row r="2778">
          <cell r="A2778">
            <v>0</v>
          </cell>
          <cell r="K2778">
            <v>0</v>
          </cell>
        </row>
        <row r="2779">
          <cell r="A2779">
            <v>0</v>
          </cell>
          <cell r="K2779">
            <v>0</v>
          </cell>
        </row>
        <row r="2780">
          <cell r="A2780">
            <v>0</v>
          </cell>
          <cell r="K2780">
            <v>0</v>
          </cell>
        </row>
        <row r="2781">
          <cell r="A2781">
            <v>0</v>
          </cell>
          <cell r="K2781">
            <v>0</v>
          </cell>
        </row>
        <row r="2782">
          <cell r="A2782">
            <v>0</v>
          </cell>
          <cell r="K2782">
            <v>0</v>
          </cell>
        </row>
        <row r="2783">
          <cell r="A2783">
            <v>0</v>
          </cell>
          <cell r="K2783">
            <v>0</v>
          </cell>
        </row>
        <row r="2784">
          <cell r="A2784">
            <v>0</v>
          </cell>
          <cell r="K2784">
            <v>0</v>
          </cell>
        </row>
        <row r="2785">
          <cell r="A2785">
            <v>0</v>
          </cell>
          <cell r="K2785">
            <v>0</v>
          </cell>
        </row>
        <row r="2786">
          <cell r="A2786">
            <v>0</v>
          </cell>
          <cell r="K2786">
            <v>0</v>
          </cell>
        </row>
        <row r="2787">
          <cell r="A2787">
            <v>0</v>
          </cell>
          <cell r="K2787">
            <v>0</v>
          </cell>
        </row>
        <row r="2788">
          <cell r="A2788">
            <v>0</v>
          </cell>
          <cell r="K2788">
            <v>0</v>
          </cell>
        </row>
        <row r="2789">
          <cell r="A2789">
            <v>0</v>
          </cell>
          <cell r="K2789">
            <v>0</v>
          </cell>
        </row>
        <row r="2790">
          <cell r="A2790">
            <v>0</v>
          </cell>
          <cell r="K2790">
            <v>0</v>
          </cell>
        </row>
        <row r="2791">
          <cell r="A2791">
            <v>0</v>
          </cell>
          <cell r="K2791">
            <v>0</v>
          </cell>
        </row>
        <row r="2792">
          <cell r="A2792">
            <v>0</v>
          </cell>
          <cell r="K2792">
            <v>0</v>
          </cell>
        </row>
        <row r="2793">
          <cell r="A2793">
            <v>0</v>
          </cell>
          <cell r="K2793">
            <v>0</v>
          </cell>
        </row>
        <row r="2794">
          <cell r="A2794">
            <v>0</v>
          </cell>
          <cell r="K2794">
            <v>0</v>
          </cell>
        </row>
        <row r="2795">
          <cell r="A2795">
            <v>0</v>
          </cell>
          <cell r="K2795">
            <v>0</v>
          </cell>
        </row>
        <row r="2796">
          <cell r="A2796">
            <v>0</v>
          </cell>
          <cell r="K2796">
            <v>0</v>
          </cell>
        </row>
        <row r="2797">
          <cell r="A2797">
            <v>0</v>
          </cell>
          <cell r="K2797">
            <v>0</v>
          </cell>
        </row>
        <row r="2798">
          <cell r="A2798">
            <v>0</v>
          </cell>
          <cell r="K2798">
            <v>0</v>
          </cell>
        </row>
        <row r="2799">
          <cell r="A2799">
            <v>0</v>
          </cell>
          <cell r="K2799">
            <v>0</v>
          </cell>
        </row>
        <row r="2800">
          <cell r="A2800">
            <v>0</v>
          </cell>
          <cell r="K2800">
            <v>0</v>
          </cell>
        </row>
        <row r="2801">
          <cell r="A2801">
            <v>0</v>
          </cell>
          <cell r="K2801">
            <v>0</v>
          </cell>
        </row>
        <row r="2802">
          <cell r="A2802">
            <v>0</v>
          </cell>
          <cell r="K2802">
            <v>0</v>
          </cell>
        </row>
        <row r="2803">
          <cell r="A2803">
            <v>0</v>
          </cell>
          <cell r="K2803">
            <v>0</v>
          </cell>
        </row>
        <row r="2804">
          <cell r="A2804">
            <v>0</v>
          </cell>
          <cell r="K2804">
            <v>0</v>
          </cell>
        </row>
        <row r="2805">
          <cell r="A2805">
            <v>0</v>
          </cell>
          <cell r="K2805">
            <v>0</v>
          </cell>
        </row>
        <row r="2806">
          <cell r="A2806">
            <v>0</v>
          </cell>
          <cell r="K2806">
            <v>0</v>
          </cell>
        </row>
        <row r="2807">
          <cell r="A2807">
            <v>0</v>
          </cell>
          <cell r="K2807">
            <v>0</v>
          </cell>
        </row>
        <row r="2808">
          <cell r="A2808">
            <v>0</v>
          </cell>
          <cell r="K2808">
            <v>0</v>
          </cell>
        </row>
        <row r="2809">
          <cell r="A2809">
            <v>0</v>
          </cell>
          <cell r="K2809">
            <v>0</v>
          </cell>
        </row>
        <row r="2810">
          <cell r="A2810">
            <v>0</v>
          </cell>
          <cell r="K2810">
            <v>0</v>
          </cell>
        </row>
        <row r="2811">
          <cell r="A2811">
            <v>0</v>
          </cell>
          <cell r="K2811">
            <v>0</v>
          </cell>
        </row>
        <row r="2812">
          <cell r="A2812">
            <v>0</v>
          </cell>
          <cell r="K2812">
            <v>0</v>
          </cell>
        </row>
        <row r="2813">
          <cell r="A2813">
            <v>0</v>
          </cell>
          <cell r="K2813">
            <v>0</v>
          </cell>
        </row>
        <row r="2814">
          <cell r="A2814">
            <v>0</v>
          </cell>
          <cell r="K2814">
            <v>0</v>
          </cell>
        </row>
        <row r="2815">
          <cell r="A2815">
            <v>0</v>
          </cell>
          <cell r="K2815">
            <v>0</v>
          </cell>
        </row>
        <row r="2816">
          <cell r="A2816">
            <v>0</v>
          </cell>
          <cell r="K2816">
            <v>0</v>
          </cell>
        </row>
        <row r="2817">
          <cell r="A2817">
            <v>0</v>
          </cell>
          <cell r="K2817">
            <v>0</v>
          </cell>
        </row>
        <row r="2818">
          <cell r="A2818">
            <v>0</v>
          </cell>
          <cell r="K2818">
            <v>0</v>
          </cell>
        </row>
        <row r="2819">
          <cell r="A2819">
            <v>0</v>
          </cell>
          <cell r="K2819">
            <v>0</v>
          </cell>
        </row>
        <row r="2820">
          <cell r="A2820">
            <v>0</v>
          </cell>
          <cell r="K2820">
            <v>0</v>
          </cell>
        </row>
        <row r="2821">
          <cell r="A2821">
            <v>0</v>
          </cell>
          <cell r="K2821">
            <v>0</v>
          </cell>
        </row>
        <row r="2822">
          <cell r="A2822">
            <v>0</v>
          </cell>
          <cell r="K2822">
            <v>0</v>
          </cell>
        </row>
        <row r="2823">
          <cell r="A2823">
            <v>0</v>
          </cell>
          <cell r="K2823">
            <v>0</v>
          </cell>
        </row>
        <row r="2824">
          <cell r="A2824">
            <v>0</v>
          </cell>
          <cell r="K2824">
            <v>0</v>
          </cell>
        </row>
        <row r="2825">
          <cell r="A2825">
            <v>0</v>
          </cell>
          <cell r="K2825">
            <v>0</v>
          </cell>
        </row>
        <row r="2826">
          <cell r="A2826">
            <v>0</v>
          </cell>
          <cell r="K2826">
            <v>0</v>
          </cell>
        </row>
        <row r="2827">
          <cell r="A2827">
            <v>0</v>
          </cell>
          <cell r="K2827">
            <v>0</v>
          </cell>
        </row>
        <row r="2828">
          <cell r="A2828">
            <v>0</v>
          </cell>
          <cell r="K2828">
            <v>0</v>
          </cell>
        </row>
        <row r="2829">
          <cell r="A2829">
            <v>0</v>
          </cell>
          <cell r="K2829">
            <v>0</v>
          </cell>
        </row>
        <row r="2830">
          <cell r="A2830">
            <v>0</v>
          </cell>
          <cell r="K2830">
            <v>0</v>
          </cell>
        </row>
        <row r="2831">
          <cell r="A2831">
            <v>0</v>
          </cell>
          <cell r="K2831">
            <v>0</v>
          </cell>
        </row>
        <row r="2832">
          <cell r="A2832">
            <v>0</v>
          </cell>
          <cell r="K2832">
            <v>0</v>
          </cell>
        </row>
        <row r="2833">
          <cell r="A2833">
            <v>0</v>
          </cell>
          <cell r="K2833">
            <v>0</v>
          </cell>
        </row>
        <row r="2834">
          <cell r="A2834">
            <v>0</v>
          </cell>
          <cell r="K2834">
            <v>0</v>
          </cell>
        </row>
        <row r="2835">
          <cell r="A2835">
            <v>0</v>
          </cell>
          <cell r="K2835">
            <v>0</v>
          </cell>
        </row>
        <row r="2836">
          <cell r="A2836">
            <v>0</v>
          </cell>
          <cell r="K2836">
            <v>0</v>
          </cell>
        </row>
        <row r="2837">
          <cell r="A2837">
            <v>0</v>
          </cell>
          <cell r="K2837">
            <v>0</v>
          </cell>
        </row>
        <row r="2838">
          <cell r="A2838">
            <v>0</v>
          </cell>
          <cell r="K2838">
            <v>0</v>
          </cell>
        </row>
        <row r="2839">
          <cell r="A2839">
            <v>0</v>
          </cell>
          <cell r="K2839">
            <v>0</v>
          </cell>
        </row>
        <row r="2840">
          <cell r="A2840">
            <v>0</v>
          </cell>
          <cell r="K2840">
            <v>0</v>
          </cell>
        </row>
        <row r="2841">
          <cell r="A2841">
            <v>0</v>
          </cell>
          <cell r="K2841">
            <v>0</v>
          </cell>
        </row>
        <row r="2842">
          <cell r="A2842">
            <v>0</v>
          </cell>
          <cell r="K2842">
            <v>0</v>
          </cell>
        </row>
        <row r="2843">
          <cell r="A2843">
            <v>0</v>
          </cell>
          <cell r="K2843">
            <v>0</v>
          </cell>
        </row>
        <row r="2844">
          <cell r="A2844">
            <v>0</v>
          </cell>
          <cell r="K2844">
            <v>0</v>
          </cell>
        </row>
        <row r="2845">
          <cell r="A2845">
            <v>0</v>
          </cell>
          <cell r="K2845">
            <v>0</v>
          </cell>
        </row>
        <row r="2846">
          <cell r="A2846">
            <v>0</v>
          </cell>
          <cell r="K2846">
            <v>0</v>
          </cell>
        </row>
        <row r="2847">
          <cell r="A2847">
            <v>0</v>
          </cell>
          <cell r="K2847">
            <v>0</v>
          </cell>
        </row>
        <row r="2848">
          <cell r="A2848">
            <v>0</v>
          </cell>
          <cell r="K2848">
            <v>0</v>
          </cell>
        </row>
        <row r="2849">
          <cell r="A2849">
            <v>0</v>
          </cell>
          <cell r="K2849">
            <v>0</v>
          </cell>
        </row>
        <row r="2850">
          <cell r="A2850">
            <v>0</v>
          </cell>
          <cell r="K2850">
            <v>0</v>
          </cell>
        </row>
        <row r="2851">
          <cell r="A2851">
            <v>0</v>
          </cell>
          <cell r="K2851">
            <v>0</v>
          </cell>
        </row>
        <row r="2852">
          <cell r="A2852">
            <v>0</v>
          </cell>
          <cell r="K2852">
            <v>0</v>
          </cell>
        </row>
        <row r="2853">
          <cell r="A2853">
            <v>0</v>
          </cell>
          <cell r="K2853">
            <v>0</v>
          </cell>
        </row>
        <row r="2854">
          <cell r="A2854">
            <v>0</v>
          </cell>
          <cell r="K2854">
            <v>0</v>
          </cell>
        </row>
        <row r="2855">
          <cell r="A2855">
            <v>0</v>
          </cell>
          <cell r="K2855">
            <v>0</v>
          </cell>
        </row>
        <row r="2856">
          <cell r="A2856">
            <v>0</v>
          </cell>
          <cell r="K2856">
            <v>0</v>
          </cell>
        </row>
        <row r="2857">
          <cell r="A2857">
            <v>0</v>
          </cell>
          <cell r="K2857">
            <v>0</v>
          </cell>
        </row>
        <row r="2858">
          <cell r="A2858">
            <v>0</v>
          </cell>
          <cell r="K2858">
            <v>0</v>
          </cell>
        </row>
        <row r="2859">
          <cell r="A2859">
            <v>0</v>
          </cell>
          <cell r="K2859">
            <v>0</v>
          </cell>
        </row>
        <row r="2860">
          <cell r="A2860">
            <v>0</v>
          </cell>
          <cell r="K2860">
            <v>0</v>
          </cell>
        </row>
        <row r="2861">
          <cell r="A2861">
            <v>0</v>
          </cell>
          <cell r="K2861">
            <v>0</v>
          </cell>
        </row>
        <row r="2862">
          <cell r="A2862">
            <v>0</v>
          </cell>
          <cell r="K2862">
            <v>0</v>
          </cell>
        </row>
        <row r="2863">
          <cell r="A2863">
            <v>0</v>
          </cell>
          <cell r="K2863">
            <v>0</v>
          </cell>
        </row>
        <row r="2864">
          <cell r="A2864">
            <v>0</v>
          </cell>
          <cell r="K2864">
            <v>0</v>
          </cell>
        </row>
        <row r="2865">
          <cell r="A2865">
            <v>0</v>
          </cell>
          <cell r="K2865">
            <v>0</v>
          </cell>
        </row>
        <row r="2866">
          <cell r="A2866">
            <v>0</v>
          </cell>
          <cell r="K2866">
            <v>0</v>
          </cell>
        </row>
        <row r="2867">
          <cell r="A2867">
            <v>0</v>
          </cell>
          <cell r="K2867">
            <v>0</v>
          </cell>
        </row>
        <row r="2868">
          <cell r="A2868">
            <v>0</v>
          </cell>
          <cell r="K2868">
            <v>0</v>
          </cell>
        </row>
        <row r="2869">
          <cell r="A2869">
            <v>0</v>
          </cell>
          <cell r="K2869">
            <v>0</v>
          </cell>
        </row>
        <row r="2870">
          <cell r="A2870">
            <v>0</v>
          </cell>
          <cell r="K2870">
            <v>0</v>
          </cell>
        </row>
        <row r="2871">
          <cell r="A2871">
            <v>0</v>
          </cell>
          <cell r="K2871">
            <v>0</v>
          </cell>
        </row>
        <row r="2872">
          <cell r="A2872">
            <v>0</v>
          </cell>
          <cell r="K2872">
            <v>0</v>
          </cell>
        </row>
        <row r="2873">
          <cell r="A2873">
            <v>0</v>
          </cell>
          <cell r="K2873">
            <v>0</v>
          </cell>
        </row>
        <row r="2874">
          <cell r="A2874">
            <v>0</v>
          </cell>
          <cell r="K2874">
            <v>0</v>
          </cell>
        </row>
        <row r="2875">
          <cell r="A2875">
            <v>0</v>
          </cell>
          <cell r="K2875">
            <v>0</v>
          </cell>
        </row>
        <row r="2876">
          <cell r="A2876">
            <v>0</v>
          </cell>
          <cell r="K2876">
            <v>0</v>
          </cell>
        </row>
        <row r="2877">
          <cell r="A2877">
            <v>0</v>
          </cell>
          <cell r="K2877">
            <v>0</v>
          </cell>
        </row>
        <row r="2878">
          <cell r="A2878">
            <v>0</v>
          </cell>
          <cell r="K2878">
            <v>0</v>
          </cell>
        </row>
        <row r="2879">
          <cell r="A2879">
            <v>0</v>
          </cell>
          <cell r="K2879">
            <v>0</v>
          </cell>
        </row>
        <row r="2880">
          <cell r="A2880">
            <v>0</v>
          </cell>
          <cell r="K2880">
            <v>0</v>
          </cell>
        </row>
        <row r="2881">
          <cell r="A2881">
            <v>0</v>
          </cell>
          <cell r="K2881">
            <v>0</v>
          </cell>
        </row>
        <row r="2882">
          <cell r="A2882">
            <v>0</v>
          </cell>
          <cell r="K2882">
            <v>0</v>
          </cell>
        </row>
        <row r="2883">
          <cell r="A2883">
            <v>0</v>
          </cell>
          <cell r="K2883">
            <v>0</v>
          </cell>
        </row>
        <row r="2884">
          <cell r="A2884">
            <v>0</v>
          </cell>
          <cell r="K2884">
            <v>0</v>
          </cell>
        </row>
        <row r="2885">
          <cell r="A2885">
            <v>0</v>
          </cell>
          <cell r="K2885">
            <v>0</v>
          </cell>
        </row>
        <row r="2886">
          <cell r="A2886">
            <v>0</v>
          </cell>
          <cell r="K2886">
            <v>0</v>
          </cell>
        </row>
        <row r="2887">
          <cell r="A2887">
            <v>0</v>
          </cell>
          <cell r="K2887">
            <v>0</v>
          </cell>
        </row>
        <row r="2888">
          <cell r="A2888">
            <v>0</v>
          </cell>
          <cell r="K2888">
            <v>0</v>
          </cell>
        </row>
        <row r="2889">
          <cell r="A2889">
            <v>0</v>
          </cell>
          <cell r="K2889">
            <v>0</v>
          </cell>
        </row>
        <row r="2890">
          <cell r="A2890">
            <v>0</v>
          </cell>
          <cell r="K2890">
            <v>0</v>
          </cell>
        </row>
        <row r="2891">
          <cell r="A2891">
            <v>0</v>
          </cell>
          <cell r="K2891">
            <v>0</v>
          </cell>
        </row>
        <row r="2892">
          <cell r="A2892">
            <v>0</v>
          </cell>
          <cell r="K2892">
            <v>0</v>
          </cell>
        </row>
        <row r="2893">
          <cell r="A2893">
            <v>0</v>
          </cell>
          <cell r="K2893">
            <v>0</v>
          </cell>
        </row>
        <row r="2894">
          <cell r="A2894">
            <v>0</v>
          </cell>
          <cell r="K2894">
            <v>0</v>
          </cell>
        </row>
        <row r="2895">
          <cell r="A2895">
            <v>0</v>
          </cell>
          <cell r="K2895">
            <v>0</v>
          </cell>
        </row>
        <row r="2896">
          <cell r="A2896">
            <v>0</v>
          </cell>
          <cell r="K2896">
            <v>0</v>
          </cell>
        </row>
        <row r="2897">
          <cell r="A2897">
            <v>0</v>
          </cell>
          <cell r="K2897">
            <v>0</v>
          </cell>
        </row>
        <row r="2898">
          <cell r="A2898">
            <v>0</v>
          </cell>
          <cell r="K2898">
            <v>0</v>
          </cell>
        </row>
        <row r="2899">
          <cell r="A2899">
            <v>0</v>
          </cell>
          <cell r="K2899">
            <v>0</v>
          </cell>
        </row>
        <row r="2900">
          <cell r="A2900">
            <v>0</v>
          </cell>
          <cell r="K2900">
            <v>0</v>
          </cell>
        </row>
        <row r="2901">
          <cell r="A2901">
            <v>0</v>
          </cell>
          <cell r="K2901">
            <v>0</v>
          </cell>
        </row>
        <row r="2902">
          <cell r="A2902">
            <v>0</v>
          </cell>
          <cell r="K2902">
            <v>0</v>
          </cell>
        </row>
        <row r="2903">
          <cell r="A2903">
            <v>0</v>
          </cell>
          <cell r="K2903">
            <v>0</v>
          </cell>
        </row>
        <row r="2904">
          <cell r="A2904">
            <v>0</v>
          </cell>
          <cell r="K2904">
            <v>0</v>
          </cell>
        </row>
        <row r="2905">
          <cell r="A2905">
            <v>0</v>
          </cell>
          <cell r="K2905">
            <v>0</v>
          </cell>
        </row>
        <row r="2906">
          <cell r="A2906">
            <v>0</v>
          </cell>
          <cell r="K2906">
            <v>0</v>
          </cell>
        </row>
        <row r="2907">
          <cell r="A2907">
            <v>0</v>
          </cell>
          <cell r="K2907">
            <v>0</v>
          </cell>
        </row>
        <row r="2908">
          <cell r="A2908">
            <v>0</v>
          </cell>
          <cell r="K2908">
            <v>0</v>
          </cell>
        </row>
        <row r="2909">
          <cell r="A2909">
            <v>0</v>
          </cell>
          <cell r="K2909">
            <v>0</v>
          </cell>
        </row>
        <row r="2910">
          <cell r="A2910">
            <v>0</v>
          </cell>
          <cell r="K2910">
            <v>0</v>
          </cell>
        </row>
        <row r="2911">
          <cell r="A2911">
            <v>0</v>
          </cell>
          <cell r="K2911">
            <v>0</v>
          </cell>
        </row>
        <row r="2912">
          <cell r="A2912">
            <v>0</v>
          </cell>
          <cell r="K2912">
            <v>0</v>
          </cell>
        </row>
        <row r="2913">
          <cell r="A2913">
            <v>0</v>
          </cell>
          <cell r="K2913">
            <v>0</v>
          </cell>
        </row>
        <row r="2914">
          <cell r="A2914">
            <v>0</v>
          </cell>
          <cell r="K2914">
            <v>0</v>
          </cell>
        </row>
        <row r="2915">
          <cell r="A2915">
            <v>0</v>
          </cell>
          <cell r="K2915">
            <v>0</v>
          </cell>
        </row>
        <row r="2916">
          <cell r="A2916">
            <v>0</v>
          </cell>
          <cell r="K2916">
            <v>0</v>
          </cell>
        </row>
        <row r="2917">
          <cell r="A2917">
            <v>0</v>
          </cell>
          <cell r="K2917">
            <v>0</v>
          </cell>
        </row>
        <row r="2918">
          <cell r="A2918">
            <v>0</v>
          </cell>
          <cell r="K2918">
            <v>0</v>
          </cell>
        </row>
        <row r="2919">
          <cell r="A2919">
            <v>0</v>
          </cell>
          <cell r="K2919">
            <v>0</v>
          </cell>
        </row>
        <row r="2920">
          <cell r="A2920">
            <v>0</v>
          </cell>
          <cell r="K2920">
            <v>0</v>
          </cell>
        </row>
        <row r="2921">
          <cell r="A2921">
            <v>0</v>
          </cell>
          <cell r="K2921">
            <v>0</v>
          </cell>
        </row>
        <row r="2922">
          <cell r="A2922">
            <v>0</v>
          </cell>
          <cell r="K2922">
            <v>0</v>
          </cell>
        </row>
        <row r="2923">
          <cell r="A2923">
            <v>0</v>
          </cell>
          <cell r="K2923">
            <v>0</v>
          </cell>
        </row>
        <row r="2924">
          <cell r="A2924">
            <v>0</v>
          </cell>
          <cell r="K2924">
            <v>0</v>
          </cell>
        </row>
        <row r="2925">
          <cell r="A2925">
            <v>0</v>
          </cell>
          <cell r="K2925">
            <v>0</v>
          </cell>
        </row>
        <row r="2926">
          <cell r="A2926">
            <v>0</v>
          </cell>
          <cell r="K2926">
            <v>0</v>
          </cell>
        </row>
        <row r="2927">
          <cell r="A2927">
            <v>0</v>
          </cell>
          <cell r="K2927">
            <v>0</v>
          </cell>
        </row>
        <row r="2928">
          <cell r="A2928">
            <v>0</v>
          </cell>
          <cell r="K2928">
            <v>0</v>
          </cell>
        </row>
        <row r="2929">
          <cell r="A2929">
            <v>0</v>
          </cell>
          <cell r="K2929">
            <v>0</v>
          </cell>
        </row>
        <row r="2930">
          <cell r="A2930">
            <v>0</v>
          </cell>
          <cell r="K2930">
            <v>0</v>
          </cell>
        </row>
        <row r="2931">
          <cell r="A2931">
            <v>0</v>
          </cell>
          <cell r="K2931">
            <v>0</v>
          </cell>
        </row>
        <row r="2932">
          <cell r="A2932">
            <v>0</v>
          </cell>
          <cell r="K2932">
            <v>0</v>
          </cell>
        </row>
        <row r="2933">
          <cell r="A2933">
            <v>0</v>
          </cell>
          <cell r="K2933">
            <v>0</v>
          </cell>
        </row>
        <row r="2934">
          <cell r="A2934">
            <v>0</v>
          </cell>
          <cell r="K2934">
            <v>0</v>
          </cell>
        </row>
        <row r="2935">
          <cell r="A2935">
            <v>0</v>
          </cell>
          <cell r="K2935">
            <v>0</v>
          </cell>
        </row>
        <row r="2936">
          <cell r="A2936">
            <v>0</v>
          </cell>
          <cell r="K2936">
            <v>0</v>
          </cell>
        </row>
        <row r="2937">
          <cell r="A2937">
            <v>0</v>
          </cell>
          <cell r="K2937">
            <v>0</v>
          </cell>
        </row>
        <row r="2938">
          <cell r="A2938">
            <v>0</v>
          </cell>
          <cell r="K2938">
            <v>0</v>
          </cell>
        </row>
        <row r="2939">
          <cell r="A2939">
            <v>0</v>
          </cell>
          <cell r="K2939">
            <v>0</v>
          </cell>
        </row>
        <row r="2940">
          <cell r="A2940">
            <v>0</v>
          </cell>
          <cell r="K2940">
            <v>0</v>
          </cell>
        </row>
        <row r="2941">
          <cell r="A2941">
            <v>0</v>
          </cell>
          <cell r="K2941">
            <v>0</v>
          </cell>
        </row>
        <row r="2942">
          <cell r="A2942">
            <v>0</v>
          </cell>
          <cell r="K2942">
            <v>0</v>
          </cell>
        </row>
        <row r="2943">
          <cell r="A2943">
            <v>0</v>
          </cell>
          <cell r="K2943">
            <v>0</v>
          </cell>
        </row>
        <row r="2944">
          <cell r="A2944">
            <v>0</v>
          </cell>
          <cell r="K2944">
            <v>0</v>
          </cell>
        </row>
        <row r="2945">
          <cell r="A2945">
            <v>0</v>
          </cell>
          <cell r="K2945">
            <v>0</v>
          </cell>
        </row>
        <row r="2946">
          <cell r="A2946">
            <v>0</v>
          </cell>
          <cell r="K2946">
            <v>0</v>
          </cell>
        </row>
        <row r="2947">
          <cell r="A2947">
            <v>0</v>
          </cell>
          <cell r="K2947">
            <v>0</v>
          </cell>
        </row>
        <row r="2948">
          <cell r="A2948">
            <v>0</v>
          </cell>
          <cell r="K2948">
            <v>0</v>
          </cell>
        </row>
        <row r="2949">
          <cell r="A2949">
            <v>0</v>
          </cell>
          <cell r="K2949">
            <v>0</v>
          </cell>
        </row>
        <row r="2950">
          <cell r="A2950">
            <v>0</v>
          </cell>
          <cell r="K2950">
            <v>0</v>
          </cell>
        </row>
        <row r="2951">
          <cell r="A2951">
            <v>0</v>
          </cell>
          <cell r="K2951">
            <v>0</v>
          </cell>
        </row>
        <row r="2952">
          <cell r="A2952">
            <v>0</v>
          </cell>
          <cell r="K2952">
            <v>0</v>
          </cell>
        </row>
        <row r="2953">
          <cell r="A2953">
            <v>0</v>
          </cell>
          <cell r="K2953">
            <v>0</v>
          </cell>
        </row>
        <row r="2954">
          <cell r="A2954">
            <v>0</v>
          </cell>
          <cell r="K2954">
            <v>0</v>
          </cell>
        </row>
        <row r="2955">
          <cell r="A2955">
            <v>0</v>
          </cell>
          <cell r="K2955">
            <v>0</v>
          </cell>
        </row>
        <row r="2956">
          <cell r="A2956">
            <v>0</v>
          </cell>
          <cell r="K2956">
            <v>0</v>
          </cell>
        </row>
        <row r="2957">
          <cell r="A2957">
            <v>0</v>
          </cell>
          <cell r="K2957">
            <v>0</v>
          </cell>
        </row>
        <row r="2958">
          <cell r="A2958">
            <v>0</v>
          </cell>
          <cell r="K2958">
            <v>0</v>
          </cell>
        </row>
        <row r="2959">
          <cell r="A2959">
            <v>0</v>
          </cell>
          <cell r="K2959">
            <v>0</v>
          </cell>
        </row>
        <row r="2960">
          <cell r="A2960">
            <v>0</v>
          </cell>
          <cell r="K2960">
            <v>0</v>
          </cell>
        </row>
        <row r="2961">
          <cell r="A2961">
            <v>0</v>
          </cell>
          <cell r="K2961">
            <v>0</v>
          </cell>
        </row>
        <row r="2962">
          <cell r="A2962">
            <v>0</v>
          </cell>
          <cell r="K2962">
            <v>0</v>
          </cell>
        </row>
        <row r="2963">
          <cell r="A2963">
            <v>0</v>
          </cell>
          <cell r="K2963">
            <v>0</v>
          </cell>
        </row>
        <row r="2964">
          <cell r="A2964">
            <v>0</v>
          </cell>
          <cell r="K2964">
            <v>0</v>
          </cell>
        </row>
        <row r="2965">
          <cell r="A2965">
            <v>0</v>
          </cell>
          <cell r="K2965">
            <v>0</v>
          </cell>
        </row>
        <row r="2966">
          <cell r="A2966">
            <v>0</v>
          </cell>
          <cell r="K2966">
            <v>0</v>
          </cell>
        </row>
        <row r="2967">
          <cell r="A2967">
            <v>0</v>
          </cell>
          <cell r="K2967">
            <v>0</v>
          </cell>
        </row>
        <row r="2968">
          <cell r="A2968">
            <v>0</v>
          </cell>
          <cell r="K2968">
            <v>0</v>
          </cell>
        </row>
        <row r="2969">
          <cell r="A2969">
            <v>0</v>
          </cell>
          <cell r="K2969">
            <v>0</v>
          </cell>
        </row>
        <row r="2970">
          <cell r="A2970">
            <v>0</v>
          </cell>
          <cell r="K2970">
            <v>0</v>
          </cell>
        </row>
        <row r="2971">
          <cell r="A2971">
            <v>0</v>
          </cell>
          <cell r="K2971">
            <v>0</v>
          </cell>
        </row>
        <row r="2972">
          <cell r="A2972">
            <v>0</v>
          </cell>
          <cell r="K2972">
            <v>0</v>
          </cell>
        </row>
        <row r="2973">
          <cell r="A2973">
            <v>0</v>
          </cell>
          <cell r="K2973">
            <v>0</v>
          </cell>
        </row>
        <row r="2974">
          <cell r="A2974">
            <v>0</v>
          </cell>
          <cell r="K2974">
            <v>0</v>
          </cell>
        </row>
        <row r="2975">
          <cell r="A2975">
            <v>0</v>
          </cell>
          <cell r="K2975">
            <v>0</v>
          </cell>
        </row>
        <row r="2976">
          <cell r="A2976">
            <v>0</v>
          </cell>
          <cell r="K2976">
            <v>0</v>
          </cell>
        </row>
        <row r="2977">
          <cell r="A2977">
            <v>0</v>
          </cell>
          <cell r="K2977">
            <v>0</v>
          </cell>
        </row>
        <row r="2978">
          <cell r="A2978">
            <v>0</v>
          </cell>
          <cell r="K2978">
            <v>0</v>
          </cell>
        </row>
        <row r="2979">
          <cell r="A2979">
            <v>0</v>
          </cell>
          <cell r="K2979">
            <v>0</v>
          </cell>
        </row>
        <row r="2980">
          <cell r="A2980">
            <v>0</v>
          </cell>
          <cell r="K2980">
            <v>0</v>
          </cell>
        </row>
        <row r="2981">
          <cell r="A2981">
            <v>0</v>
          </cell>
          <cell r="K2981">
            <v>0</v>
          </cell>
        </row>
        <row r="2982">
          <cell r="A2982">
            <v>0</v>
          </cell>
          <cell r="K2982">
            <v>0</v>
          </cell>
        </row>
        <row r="2983">
          <cell r="A2983">
            <v>0</v>
          </cell>
          <cell r="K2983">
            <v>0</v>
          </cell>
        </row>
        <row r="2984">
          <cell r="A2984">
            <v>0</v>
          </cell>
          <cell r="K2984">
            <v>0</v>
          </cell>
        </row>
        <row r="2985">
          <cell r="A2985">
            <v>0</v>
          </cell>
          <cell r="K2985">
            <v>0</v>
          </cell>
        </row>
        <row r="2986">
          <cell r="A2986">
            <v>0</v>
          </cell>
          <cell r="K2986">
            <v>0</v>
          </cell>
        </row>
        <row r="2987">
          <cell r="A2987">
            <v>0</v>
          </cell>
          <cell r="K2987">
            <v>0</v>
          </cell>
        </row>
        <row r="2988">
          <cell r="A2988">
            <v>0</v>
          </cell>
          <cell r="K2988">
            <v>0</v>
          </cell>
        </row>
        <row r="2989">
          <cell r="A2989">
            <v>0</v>
          </cell>
          <cell r="K2989">
            <v>0</v>
          </cell>
        </row>
        <row r="2990">
          <cell r="A2990">
            <v>0</v>
          </cell>
          <cell r="K2990">
            <v>0</v>
          </cell>
        </row>
        <row r="2991">
          <cell r="A2991">
            <v>0</v>
          </cell>
          <cell r="K2991">
            <v>0</v>
          </cell>
        </row>
        <row r="2992">
          <cell r="A2992">
            <v>0</v>
          </cell>
          <cell r="K2992">
            <v>0</v>
          </cell>
        </row>
        <row r="2993">
          <cell r="A2993">
            <v>0</v>
          </cell>
          <cell r="K2993">
            <v>0</v>
          </cell>
        </row>
        <row r="2994">
          <cell r="A2994">
            <v>0</v>
          </cell>
          <cell r="K2994">
            <v>0</v>
          </cell>
        </row>
        <row r="2995">
          <cell r="A2995">
            <v>0</v>
          </cell>
          <cell r="K2995">
            <v>0</v>
          </cell>
        </row>
        <row r="2996">
          <cell r="A2996">
            <v>0</v>
          </cell>
          <cell r="K2996">
            <v>0</v>
          </cell>
        </row>
        <row r="2997">
          <cell r="A2997">
            <v>0</v>
          </cell>
          <cell r="K2997">
            <v>0</v>
          </cell>
        </row>
        <row r="2998">
          <cell r="A2998">
            <v>0</v>
          </cell>
          <cell r="K2998">
            <v>0</v>
          </cell>
        </row>
        <row r="2999">
          <cell r="A2999">
            <v>0</v>
          </cell>
          <cell r="K2999">
            <v>0</v>
          </cell>
        </row>
        <row r="3000">
          <cell r="A3000">
            <v>0</v>
          </cell>
          <cell r="K3000">
            <v>0</v>
          </cell>
        </row>
        <row r="3001">
          <cell r="A3001">
            <v>0</v>
          </cell>
          <cell r="K3001">
            <v>0</v>
          </cell>
        </row>
        <row r="3002">
          <cell r="A3002">
            <v>0</v>
          </cell>
          <cell r="K3002">
            <v>0</v>
          </cell>
        </row>
        <row r="3003">
          <cell r="A3003">
            <v>0</v>
          </cell>
          <cell r="K3003">
            <v>0</v>
          </cell>
        </row>
        <row r="3004">
          <cell r="A3004">
            <v>0</v>
          </cell>
          <cell r="K3004">
            <v>0</v>
          </cell>
        </row>
        <row r="3005">
          <cell r="A3005">
            <v>0</v>
          </cell>
          <cell r="K3005">
            <v>0</v>
          </cell>
        </row>
        <row r="3006">
          <cell r="A3006">
            <v>0</v>
          </cell>
          <cell r="K3006">
            <v>0</v>
          </cell>
        </row>
        <row r="3007">
          <cell r="A3007">
            <v>0</v>
          </cell>
          <cell r="K3007">
            <v>0</v>
          </cell>
        </row>
        <row r="3008">
          <cell r="A3008">
            <v>0</v>
          </cell>
          <cell r="K3008">
            <v>0</v>
          </cell>
        </row>
        <row r="3009">
          <cell r="A3009">
            <v>0</v>
          </cell>
          <cell r="K3009">
            <v>0</v>
          </cell>
        </row>
        <row r="3010">
          <cell r="A3010">
            <v>0</v>
          </cell>
          <cell r="K3010">
            <v>0</v>
          </cell>
        </row>
        <row r="3011">
          <cell r="A3011">
            <v>0</v>
          </cell>
          <cell r="K3011">
            <v>0</v>
          </cell>
        </row>
        <row r="3012">
          <cell r="A3012">
            <v>0</v>
          </cell>
          <cell r="K3012">
            <v>0</v>
          </cell>
        </row>
        <row r="3013">
          <cell r="A3013">
            <v>0</v>
          </cell>
          <cell r="K3013">
            <v>0</v>
          </cell>
        </row>
        <row r="3014">
          <cell r="A3014">
            <v>0</v>
          </cell>
          <cell r="K3014">
            <v>0</v>
          </cell>
        </row>
        <row r="3015">
          <cell r="A3015">
            <v>0</v>
          </cell>
          <cell r="K3015">
            <v>0</v>
          </cell>
        </row>
        <row r="3016">
          <cell r="A3016">
            <v>0</v>
          </cell>
          <cell r="K3016">
            <v>0</v>
          </cell>
        </row>
        <row r="3017">
          <cell r="A3017">
            <v>0</v>
          </cell>
          <cell r="K3017">
            <v>0</v>
          </cell>
        </row>
        <row r="3018">
          <cell r="A3018">
            <v>0</v>
          </cell>
          <cell r="K3018">
            <v>0</v>
          </cell>
        </row>
        <row r="3019">
          <cell r="A3019">
            <v>0</v>
          </cell>
          <cell r="K3019">
            <v>0</v>
          </cell>
        </row>
        <row r="3020">
          <cell r="A3020">
            <v>0</v>
          </cell>
          <cell r="K3020">
            <v>0</v>
          </cell>
        </row>
        <row r="3021">
          <cell r="A3021">
            <v>0</v>
          </cell>
          <cell r="K3021">
            <v>0</v>
          </cell>
        </row>
        <row r="3022">
          <cell r="A3022">
            <v>0</v>
          </cell>
          <cell r="K3022">
            <v>0</v>
          </cell>
        </row>
        <row r="3023">
          <cell r="A3023">
            <v>0</v>
          </cell>
          <cell r="K3023">
            <v>0</v>
          </cell>
        </row>
        <row r="3024">
          <cell r="A3024">
            <v>0</v>
          </cell>
          <cell r="K3024">
            <v>0</v>
          </cell>
        </row>
        <row r="3025">
          <cell r="A3025">
            <v>0</v>
          </cell>
          <cell r="K3025">
            <v>0</v>
          </cell>
        </row>
        <row r="3026">
          <cell r="A3026">
            <v>0</v>
          </cell>
          <cell r="K3026">
            <v>0</v>
          </cell>
        </row>
        <row r="3027">
          <cell r="A3027">
            <v>0</v>
          </cell>
          <cell r="K3027">
            <v>0</v>
          </cell>
        </row>
        <row r="3028">
          <cell r="A3028">
            <v>0</v>
          </cell>
          <cell r="K3028">
            <v>0</v>
          </cell>
        </row>
        <row r="3029">
          <cell r="A3029">
            <v>0</v>
          </cell>
          <cell r="K3029">
            <v>0</v>
          </cell>
        </row>
        <row r="3030">
          <cell r="A3030">
            <v>0</v>
          </cell>
          <cell r="K3030">
            <v>0</v>
          </cell>
        </row>
        <row r="3031">
          <cell r="A3031">
            <v>0</v>
          </cell>
          <cell r="K3031">
            <v>0</v>
          </cell>
        </row>
        <row r="3032">
          <cell r="A3032">
            <v>0</v>
          </cell>
          <cell r="K3032">
            <v>0</v>
          </cell>
        </row>
        <row r="3033">
          <cell r="A3033">
            <v>0</v>
          </cell>
          <cell r="K3033">
            <v>0</v>
          </cell>
        </row>
        <row r="3034">
          <cell r="A3034">
            <v>0</v>
          </cell>
          <cell r="K3034">
            <v>0</v>
          </cell>
        </row>
        <row r="3035">
          <cell r="A3035">
            <v>0</v>
          </cell>
          <cell r="K3035">
            <v>0</v>
          </cell>
        </row>
        <row r="3036">
          <cell r="A3036">
            <v>0</v>
          </cell>
          <cell r="K3036">
            <v>0</v>
          </cell>
        </row>
        <row r="3037">
          <cell r="A3037">
            <v>0</v>
          </cell>
          <cell r="K3037">
            <v>0</v>
          </cell>
        </row>
        <row r="3038">
          <cell r="A3038">
            <v>0</v>
          </cell>
          <cell r="K3038">
            <v>0</v>
          </cell>
        </row>
        <row r="3039">
          <cell r="A3039">
            <v>0</v>
          </cell>
          <cell r="K3039">
            <v>0</v>
          </cell>
        </row>
        <row r="3040">
          <cell r="A3040">
            <v>0</v>
          </cell>
          <cell r="K3040">
            <v>0</v>
          </cell>
        </row>
        <row r="3041">
          <cell r="A3041">
            <v>0</v>
          </cell>
          <cell r="K3041">
            <v>0</v>
          </cell>
        </row>
        <row r="3042">
          <cell r="A3042">
            <v>0</v>
          </cell>
          <cell r="K3042">
            <v>0</v>
          </cell>
        </row>
        <row r="3043">
          <cell r="A3043">
            <v>0</v>
          </cell>
          <cell r="K3043">
            <v>0</v>
          </cell>
        </row>
        <row r="3044">
          <cell r="A3044">
            <v>0</v>
          </cell>
          <cell r="K3044">
            <v>0</v>
          </cell>
        </row>
        <row r="3045">
          <cell r="A3045">
            <v>0</v>
          </cell>
          <cell r="K3045">
            <v>0</v>
          </cell>
        </row>
        <row r="3046">
          <cell r="A3046">
            <v>0</v>
          </cell>
          <cell r="K3046">
            <v>0</v>
          </cell>
        </row>
        <row r="3047">
          <cell r="A3047">
            <v>0</v>
          </cell>
          <cell r="K3047">
            <v>0</v>
          </cell>
        </row>
        <row r="3048">
          <cell r="A3048">
            <v>0</v>
          </cell>
          <cell r="K3048">
            <v>0</v>
          </cell>
        </row>
        <row r="3049">
          <cell r="A3049">
            <v>0</v>
          </cell>
          <cell r="K3049">
            <v>0</v>
          </cell>
        </row>
        <row r="3050">
          <cell r="A3050">
            <v>0</v>
          </cell>
          <cell r="K3050">
            <v>0</v>
          </cell>
        </row>
        <row r="3051">
          <cell r="A3051">
            <v>0</v>
          </cell>
          <cell r="K3051">
            <v>0</v>
          </cell>
        </row>
        <row r="3052">
          <cell r="A3052">
            <v>0</v>
          </cell>
          <cell r="K3052">
            <v>0</v>
          </cell>
        </row>
        <row r="3053">
          <cell r="A3053">
            <v>0</v>
          </cell>
          <cell r="K3053">
            <v>0</v>
          </cell>
        </row>
        <row r="3054">
          <cell r="A3054">
            <v>0</v>
          </cell>
          <cell r="K3054">
            <v>0</v>
          </cell>
        </row>
        <row r="3055">
          <cell r="A3055">
            <v>0</v>
          </cell>
          <cell r="K3055">
            <v>0</v>
          </cell>
        </row>
        <row r="3056">
          <cell r="A3056">
            <v>0</v>
          </cell>
          <cell r="K3056">
            <v>0</v>
          </cell>
        </row>
        <row r="3057">
          <cell r="A3057">
            <v>0</v>
          </cell>
          <cell r="K3057">
            <v>0</v>
          </cell>
        </row>
        <row r="3058">
          <cell r="A3058">
            <v>0</v>
          </cell>
          <cell r="K3058">
            <v>0</v>
          </cell>
        </row>
        <row r="3059">
          <cell r="A3059">
            <v>0</v>
          </cell>
          <cell r="K3059">
            <v>0</v>
          </cell>
        </row>
        <row r="3060">
          <cell r="A3060">
            <v>0</v>
          </cell>
          <cell r="K3060">
            <v>0</v>
          </cell>
        </row>
        <row r="3061">
          <cell r="A3061">
            <v>0</v>
          </cell>
          <cell r="K3061">
            <v>0</v>
          </cell>
        </row>
        <row r="3062">
          <cell r="A3062">
            <v>0</v>
          </cell>
          <cell r="K3062">
            <v>0</v>
          </cell>
        </row>
        <row r="3063">
          <cell r="A3063">
            <v>0</v>
          </cell>
          <cell r="K3063">
            <v>0</v>
          </cell>
        </row>
        <row r="3064">
          <cell r="A3064">
            <v>0</v>
          </cell>
          <cell r="K3064">
            <v>0</v>
          </cell>
        </row>
        <row r="3065">
          <cell r="A3065">
            <v>0</v>
          </cell>
          <cell r="K3065">
            <v>0</v>
          </cell>
        </row>
        <row r="3066">
          <cell r="A3066">
            <v>0</v>
          </cell>
          <cell r="K3066">
            <v>0</v>
          </cell>
        </row>
        <row r="3067">
          <cell r="A3067">
            <v>0</v>
          </cell>
          <cell r="K3067">
            <v>0</v>
          </cell>
        </row>
        <row r="3068">
          <cell r="A3068">
            <v>0</v>
          </cell>
          <cell r="K3068">
            <v>0</v>
          </cell>
        </row>
        <row r="3069">
          <cell r="A3069">
            <v>0</v>
          </cell>
          <cell r="K3069">
            <v>0</v>
          </cell>
        </row>
        <row r="3070">
          <cell r="A3070">
            <v>0</v>
          </cell>
          <cell r="K3070">
            <v>0</v>
          </cell>
        </row>
        <row r="3071">
          <cell r="A3071">
            <v>0</v>
          </cell>
          <cell r="K3071">
            <v>0</v>
          </cell>
        </row>
        <row r="3072">
          <cell r="A3072">
            <v>0</v>
          </cell>
          <cell r="K3072">
            <v>0</v>
          </cell>
        </row>
        <row r="3073">
          <cell r="A3073">
            <v>0</v>
          </cell>
          <cell r="K3073">
            <v>0</v>
          </cell>
        </row>
        <row r="3074">
          <cell r="A3074">
            <v>0</v>
          </cell>
          <cell r="K3074">
            <v>0</v>
          </cell>
        </row>
        <row r="3075">
          <cell r="A3075">
            <v>0</v>
          </cell>
          <cell r="K3075">
            <v>0</v>
          </cell>
        </row>
        <row r="3076">
          <cell r="A3076">
            <v>0</v>
          </cell>
          <cell r="K3076">
            <v>0</v>
          </cell>
        </row>
        <row r="3077">
          <cell r="A3077">
            <v>0</v>
          </cell>
          <cell r="K3077">
            <v>0</v>
          </cell>
        </row>
        <row r="3078">
          <cell r="A3078">
            <v>0</v>
          </cell>
          <cell r="K3078">
            <v>0</v>
          </cell>
        </row>
        <row r="3079">
          <cell r="A3079">
            <v>0</v>
          </cell>
          <cell r="K3079">
            <v>0</v>
          </cell>
        </row>
        <row r="3080">
          <cell r="A3080">
            <v>0</v>
          </cell>
          <cell r="K3080">
            <v>0</v>
          </cell>
        </row>
        <row r="3081">
          <cell r="A3081">
            <v>0</v>
          </cell>
          <cell r="K3081">
            <v>0</v>
          </cell>
        </row>
        <row r="3082">
          <cell r="A3082">
            <v>0</v>
          </cell>
          <cell r="K3082">
            <v>0</v>
          </cell>
        </row>
        <row r="3083">
          <cell r="A3083">
            <v>0</v>
          </cell>
          <cell r="K3083">
            <v>0</v>
          </cell>
        </row>
        <row r="3084">
          <cell r="A3084">
            <v>0</v>
          </cell>
          <cell r="K3084">
            <v>0</v>
          </cell>
        </row>
        <row r="3085">
          <cell r="A3085">
            <v>0</v>
          </cell>
          <cell r="K3085">
            <v>0</v>
          </cell>
        </row>
        <row r="3086">
          <cell r="A3086">
            <v>0</v>
          </cell>
          <cell r="K3086">
            <v>0</v>
          </cell>
        </row>
        <row r="3087">
          <cell r="A3087">
            <v>0</v>
          </cell>
          <cell r="K3087">
            <v>0</v>
          </cell>
        </row>
        <row r="3088">
          <cell r="A3088">
            <v>0</v>
          </cell>
          <cell r="K3088">
            <v>0</v>
          </cell>
        </row>
        <row r="3089">
          <cell r="A3089">
            <v>0</v>
          </cell>
          <cell r="K3089">
            <v>0</v>
          </cell>
        </row>
        <row r="3090">
          <cell r="A3090">
            <v>0</v>
          </cell>
          <cell r="K3090">
            <v>0</v>
          </cell>
        </row>
        <row r="3091">
          <cell r="A3091">
            <v>0</v>
          </cell>
          <cell r="K3091">
            <v>0</v>
          </cell>
        </row>
        <row r="3092">
          <cell r="A3092">
            <v>0</v>
          </cell>
          <cell r="K3092">
            <v>0</v>
          </cell>
        </row>
        <row r="3093">
          <cell r="A3093">
            <v>0</v>
          </cell>
          <cell r="K3093">
            <v>0</v>
          </cell>
        </row>
        <row r="3094">
          <cell r="A3094">
            <v>0</v>
          </cell>
          <cell r="K3094">
            <v>0</v>
          </cell>
        </row>
        <row r="3095">
          <cell r="A3095">
            <v>0</v>
          </cell>
          <cell r="K3095">
            <v>0</v>
          </cell>
        </row>
        <row r="3096">
          <cell r="A3096">
            <v>0</v>
          </cell>
          <cell r="K3096">
            <v>0</v>
          </cell>
        </row>
        <row r="3097">
          <cell r="A3097">
            <v>0</v>
          </cell>
          <cell r="K3097">
            <v>0</v>
          </cell>
        </row>
        <row r="3098">
          <cell r="A3098">
            <v>0</v>
          </cell>
          <cell r="K3098">
            <v>0</v>
          </cell>
        </row>
        <row r="3099">
          <cell r="A3099">
            <v>0</v>
          </cell>
          <cell r="K3099">
            <v>0</v>
          </cell>
        </row>
        <row r="3100">
          <cell r="A3100">
            <v>0</v>
          </cell>
          <cell r="K3100">
            <v>0</v>
          </cell>
        </row>
        <row r="3101">
          <cell r="A3101">
            <v>0</v>
          </cell>
          <cell r="K3101">
            <v>0</v>
          </cell>
        </row>
        <row r="3102">
          <cell r="A3102">
            <v>0</v>
          </cell>
          <cell r="K3102">
            <v>0</v>
          </cell>
        </row>
        <row r="3103">
          <cell r="A3103">
            <v>0</v>
          </cell>
          <cell r="K3103">
            <v>0</v>
          </cell>
        </row>
        <row r="3104">
          <cell r="A3104">
            <v>0</v>
          </cell>
          <cell r="K3104">
            <v>0</v>
          </cell>
        </row>
        <row r="3105">
          <cell r="A3105">
            <v>0</v>
          </cell>
          <cell r="K3105">
            <v>0</v>
          </cell>
        </row>
        <row r="3106">
          <cell r="A3106">
            <v>0</v>
          </cell>
          <cell r="K3106">
            <v>0</v>
          </cell>
        </row>
        <row r="3107">
          <cell r="A3107">
            <v>0</v>
          </cell>
          <cell r="K3107">
            <v>0</v>
          </cell>
        </row>
        <row r="3108">
          <cell r="A3108">
            <v>0</v>
          </cell>
          <cell r="K3108">
            <v>0</v>
          </cell>
        </row>
        <row r="3109">
          <cell r="A3109">
            <v>0</v>
          </cell>
          <cell r="K3109">
            <v>0</v>
          </cell>
        </row>
        <row r="3110">
          <cell r="A3110">
            <v>0</v>
          </cell>
          <cell r="K3110">
            <v>0</v>
          </cell>
        </row>
        <row r="3111">
          <cell r="A3111">
            <v>0</v>
          </cell>
          <cell r="K3111">
            <v>0</v>
          </cell>
        </row>
        <row r="3112">
          <cell r="A3112">
            <v>0</v>
          </cell>
          <cell r="K3112">
            <v>0</v>
          </cell>
        </row>
        <row r="3113">
          <cell r="A3113">
            <v>0</v>
          </cell>
          <cell r="K3113">
            <v>0</v>
          </cell>
        </row>
        <row r="3114">
          <cell r="A3114">
            <v>0</v>
          </cell>
          <cell r="K3114">
            <v>0</v>
          </cell>
        </row>
        <row r="3115">
          <cell r="A3115">
            <v>0</v>
          </cell>
          <cell r="K3115">
            <v>0</v>
          </cell>
        </row>
        <row r="3116">
          <cell r="A3116">
            <v>0</v>
          </cell>
          <cell r="K3116">
            <v>0</v>
          </cell>
        </row>
        <row r="3117">
          <cell r="A3117">
            <v>0</v>
          </cell>
          <cell r="K3117">
            <v>0</v>
          </cell>
        </row>
        <row r="3118">
          <cell r="A3118">
            <v>0</v>
          </cell>
          <cell r="K3118">
            <v>0</v>
          </cell>
        </row>
        <row r="3119">
          <cell r="A3119">
            <v>0</v>
          </cell>
          <cell r="K3119">
            <v>0</v>
          </cell>
        </row>
        <row r="3120">
          <cell r="A3120">
            <v>0</v>
          </cell>
          <cell r="K3120">
            <v>0</v>
          </cell>
        </row>
        <row r="3121">
          <cell r="A3121">
            <v>0</v>
          </cell>
          <cell r="K3121">
            <v>0</v>
          </cell>
        </row>
        <row r="3122">
          <cell r="A3122">
            <v>0</v>
          </cell>
          <cell r="K3122">
            <v>0</v>
          </cell>
        </row>
        <row r="3123">
          <cell r="A3123">
            <v>0</v>
          </cell>
          <cell r="K3123">
            <v>0</v>
          </cell>
        </row>
        <row r="3124">
          <cell r="A3124">
            <v>0</v>
          </cell>
          <cell r="K3124">
            <v>0</v>
          </cell>
        </row>
        <row r="3125">
          <cell r="A3125">
            <v>0</v>
          </cell>
          <cell r="K3125">
            <v>0</v>
          </cell>
        </row>
        <row r="3126">
          <cell r="A3126">
            <v>0</v>
          </cell>
          <cell r="K3126">
            <v>0</v>
          </cell>
        </row>
        <row r="3127">
          <cell r="A3127">
            <v>0</v>
          </cell>
          <cell r="K3127">
            <v>0</v>
          </cell>
        </row>
        <row r="3128">
          <cell r="A3128">
            <v>0</v>
          </cell>
          <cell r="K3128">
            <v>0</v>
          </cell>
        </row>
        <row r="3129">
          <cell r="A3129">
            <v>0</v>
          </cell>
          <cell r="K3129">
            <v>0</v>
          </cell>
        </row>
        <row r="3130">
          <cell r="A3130">
            <v>0</v>
          </cell>
          <cell r="K3130">
            <v>0</v>
          </cell>
        </row>
        <row r="3131">
          <cell r="A3131">
            <v>0</v>
          </cell>
          <cell r="K3131">
            <v>0</v>
          </cell>
        </row>
        <row r="3132">
          <cell r="A3132">
            <v>0</v>
          </cell>
          <cell r="K3132">
            <v>0</v>
          </cell>
        </row>
        <row r="3133">
          <cell r="A3133">
            <v>0</v>
          </cell>
          <cell r="K3133">
            <v>0</v>
          </cell>
        </row>
        <row r="3134">
          <cell r="A3134">
            <v>0</v>
          </cell>
          <cell r="K3134">
            <v>0</v>
          </cell>
        </row>
        <row r="3135">
          <cell r="A3135">
            <v>0</v>
          </cell>
          <cell r="K3135">
            <v>0</v>
          </cell>
        </row>
        <row r="3136">
          <cell r="A3136">
            <v>0</v>
          </cell>
          <cell r="K3136">
            <v>0</v>
          </cell>
        </row>
        <row r="3137">
          <cell r="A3137">
            <v>0</v>
          </cell>
          <cell r="K3137">
            <v>0</v>
          </cell>
        </row>
        <row r="3138">
          <cell r="A3138">
            <v>0</v>
          </cell>
          <cell r="K3138">
            <v>0</v>
          </cell>
        </row>
        <row r="3139">
          <cell r="A3139">
            <v>0</v>
          </cell>
          <cell r="K3139">
            <v>0</v>
          </cell>
        </row>
        <row r="3140">
          <cell r="A3140">
            <v>0</v>
          </cell>
          <cell r="K3140">
            <v>0</v>
          </cell>
        </row>
        <row r="3141">
          <cell r="A3141">
            <v>0</v>
          </cell>
          <cell r="K3141">
            <v>0</v>
          </cell>
        </row>
        <row r="3142">
          <cell r="A3142">
            <v>0</v>
          </cell>
          <cell r="K3142">
            <v>0</v>
          </cell>
        </row>
        <row r="3143">
          <cell r="A3143">
            <v>0</v>
          </cell>
          <cell r="K3143">
            <v>0</v>
          </cell>
        </row>
        <row r="3144">
          <cell r="A3144">
            <v>0</v>
          </cell>
          <cell r="K3144">
            <v>0</v>
          </cell>
        </row>
        <row r="3145">
          <cell r="A3145">
            <v>0</v>
          </cell>
          <cell r="K3145">
            <v>0</v>
          </cell>
        </row>
        <row r="3146">
          <cell r="A3146">
            <v>0</v>
          </cell>
          <cell r="K3146">
            <v>0</v>
          </cell>
        </row>
        <row r="3147">
          <cell r="A3147">
            <v>0</v>
          </cell>
          <cell r="K3147">
            <v>0</v>
          </cell>
        </row>
        <row r="3148">
          <cell r="A3148">
            <v>0</v>
          </cell>
          <cell r="K3148">
            <v>0</v>
          </cell>
        </row>
        <row r="3149">
          <cell r="A3149">
            <v>0</v>
          </cell>
          <cell r="K3149">
            <v>0</v>
          </cell>
        </row>
        <row r="3150">
          <cell r="A3150">
            <v>0</v>
          </cell>
          <cell r="K3150">
            <v>0</v>
          </cell>
        </row>
        <row r="3151">
          <cell r="A3151">
            <v>0</v>
          </cell>
          <cell r="K3151">
            <v>0</v>
          </cell>
        </row>
        <row r="3152">
          <cell r="A3152">
            <v>0</v>
          </cell>
          <cell r="K3152">
            <v>0</v>
          </cell>
        </row>
        <row r="3153">
          <cell r="A3153">
            <v>0</v>
          </cell>
          <cell r="K3153">
            <v>0</v>
          </cell>
        </row>
        <row r="3154">
          <cell r="A3154">
            <v>0</v>
          </cell>
          <cell r="K3154">
            <v>0</v>
          </cell>
        </row>
        <row r="3155">
          <cell r="A3155">
            <v>0</v>
          </cell>
          <cell r="K3155">
            <v>0</v>
          </cell>
        </row>
        <row r="3156">
          <cell r="A3156">
            <v>0</v>
          </cell>
          <cell r="K3156">
            <v>0</v>
          </cell>
        </row>
        <row r="3157">
          <cell r="A3157">
            <v>0</v>
          </cell>
          <cell r="K3157">
            <v>0</v>
          </cell>
        </row>
        <row r="3158">
          <cell r="A3158">
            <v>0</v>
          </cell>
          <cell r="K3158">
            <v>0</v>
          </cell>
        </row>
        <row r="3159">
          <cell r="A3159">
            <v>0</v>
          </cell>
          <cell r="K3159">
            <v>0</v>
          </cell>
        </row>
        <row r="3160">
          <cell r="A3160">
            <v>0</v>
          </cell>
          <cell r="K3160">
            <v>0</v>
          </cell>
        </row>
        <row r="3161">
          <cell r="A3161">
            <v>0</v>
          </cell>
          <cell r="K3161">
            <v>0</v>
          </cell>
        </row>
        <row r="3162">
          <cell r="A3162">
            <v>0</v>
          </cell>
          <cell r="K3162">
            <v>0</v>
          </cell>
        </row>
        <row r="3163">
          <cell r="A3163">
            <v>0</v>
          </cell>
          <cell r="K3163">
            <v>0</v>
          </cell>
        </row>
        <row r="3164">
          <cell r="A3164">
            <v>0</v>
          </cell>
          <cell r="K3164">
            <v>0</v>
          </cell>
        </row>
        <row r="3165">
          <cell r="A3165">
            <v>0</v>
          </cell>
          <cell r="K3165">
            <v>0</v>
          </cell>
        </row>
        <row r="3166">
          <cell r="A3166">
            <v>0</v>
          </cell>
          <cell r="K3166">
            <v>0</v>
          </cell>
        </row>
        <row r="3167">
          <cell r="A3167">
            <v>0</v>
          </cell>
          <cell r="K3167">
            <v>0</v>
          </cell>
        </row>
        <row r="3168">
          <cell r="A3168">
            <v>0</v>
          </cell>
          <cell r="K3168">
            <v>0</v>
          </cell>
        </row>
        <row r="3169">
          <cell r="A3169">
            <v>0</v>
          </cell>
          <cell r="K3169">
            <v>0</v>
          </cell>
        </row>
        <row r="3170">
          <cell r="A3170">
            <v>0</v>
          </cell>
          <cell r="K3170">
            <v>0</v>
          </cell>
        </row>
        <row r="3171">
          <cell r="A3171">
            <v>0</v>
          </cell>
          <cell r="K3171">
            <v>0</v>
          </cell>
        </row>
        <row r="3172">
          <cell r="A3172">
            <v>0</v>
          </cell>
          <cell r="K3172">
            <v>0</v>
          </cell>
        </row>
        <row r="3173">
          <cell r="A3173">
            <v>0</v>
          </cell>
          <cell r="K3173">
            <v>0</v>
          </cell>
        </row>
        <row r="3174">
          <cell r="A3174">
            <v>0</v>
          </cell>
          <cell r="K3174">
            <v>0</v>
          </cell>
        </row>
        <row r="3175">
          <cell r="A3175">
            <v>0</v>
          </cell>
          <cell r="K3175">
            <v>0</v>
          </cell>
        </row>
        <row r="3176">
          <cell r="A3176">
            <v>0</v>
          </cell>
          <cell r="K3176">
            <v>0</v>
          </cell>
        </row>
        <row r="3177">
          <cell r="A3177">
            <v>0</v>
          </cell>
          <cell r="K3177">
            <v>0</v>
          </cell>
        </row>
        <row r="3178">
          <cell r="A3178">
            <v>0</v>
          </cell>
          <cell r="K3178">
            <v>0</v>
          </cell>
        </row>
        <row r="3179">
          <cell r="A3179">
            <v>0</v>
          </cell>
          <cell r="K3179">
            <v>0</v>
          </cell>
        </row>
        <row r="3180">
          <cell r="A3180">
            <v>0</v>
          </cell>
          <cell r="K3180">
            <v>0</v>
          </cell>
        </row>
        <row r="3181">
          <cell r="A3181">
            <v>0</v>
          </cell>
          <cell r="K3181">
            <v>0</v>
          </cell>
        </row>
        <row r="3182">
          <cell r="A3182">
            <v>0</v>
          </cell>
          <cell r="K3182">
            <v>0</v>
          </cell>
        </row>
        <row r="3183">
          <cell r="A3183">
            <v>0</v>
          </cell>
          <cell r="K3183">
            <v>0</v>
          </cell>
        </row>
        <row r="3184">
          <cell r="A3184">
            <v>0</v>
          </cell>
          <cell r="K3184">
            <v>0</v>
          </cell>
        </row>
        <row r="3185">
          <cell r="A3185">
            <v>0</v>
          </cell>
          <cell r="K3185">
            <v>0</v>
          </cell>
        </row>
        <row r="3186">
          <cell r="A3186">
            <v>0</v>
          </cell>
          <cell r="K3186">
            <v>0</v>
          </cell>
        </row>
        <row r="3187">
          <cell r="A3187">
            <v>0</v>
          </cell>
          <cell r="K3187">
            <v>0</v>
          </cell>
        </row>
        <row r="3188">
          <cell r="A3188">
            <v>0</v>
          </cell>
          <cell r="K3188">
            <v>0</v>
          </cell>
        </row>
        <row r="3189">
          <cell r="A3189">
            <v>0</v>
          </cell>
          <cell r="K3189">
            <v>0</v>
          </cell>
        </row>
        <row r="3190">
          <cell r="A3190">
            <v>0</v>
          </cell>
          <cell r="K3190">
            <v>0</v>
          </cell>
        </row>
        <row r="3191">
          <cell r="A3191">
            <v>0</v>
          </cell>
          <cell r="K3191">
            <v>0</v>
          </cell>
        </row>
        <row r="3192">
          <cell r="A3192">
            <v>0</v>
          </cell>
          <cell r="K3192">
            <v>0</v>
          </cell>
        </row>
        <row r="3193">
          <cell r="A3193">
            <v>0</v>
          </cell>
          <cell r="K3193">
            <v>0</v>
          </cell>
        </row>
        <row r="3194">
          <cell r="A3194">
            <v>0</v>
          </cell>
          <cell r="K3194">
            <v>0</v>
          </cell>
        </row>
        <row r="3195">
          <cell r="A3195">
            <v>0</v>
          </cell>
          <cell r="K3195">
            <v>0</v>
          </cell>
        </row>
        <row r="3196">
          <cell r="A3196">
            <v>0</v>
          </cell>
          <cell r="K3196">
            <v>0</v>
          </cell>
        </row>
        <row r="3197">
          <cell r="A3197">
            <v>0</v>
          </cell>
          <cell r="K3197">
            <v>0</v>
          </cell>
        </row>
        <row r="3198">
          <cell r="A3198">
            <v>0</v>
          </cell>
          <cell r="K3198">
            <v>0</v>
          </cell>
        </row>
        <row r="3199">
          <cell r="A3199">
            <v>0</v>
          </cell>
          <cell r="K3199">
            <v>0</v>
          </cell>
        </row>
        <row r="3200">
          <cell r="A3200">
            <v>0</v>
          </cell>
          <cell r="K3200">
            <v>0</v>
          </cell>
        </row>
        <row r="3201">
          <cell r="A3201">
            <v>0</v>
          </cell>
          <cell r="K3201">
            <v>0</v>
          </cell>
        </row>
        <row r="3202">
          <cell r="A3202">
            <v>0</v>
          </cell>
          <cell r="K3202">
            <v>0</v>
          </cell>
        </row>
        <row r="3203">
          <cell r="A3203">
            <v>0</v>
          </cell>
          <cell r="K3203">
            <v>0</v>
          </cell>
        </row>
        <row r="3204">
          <cell r="A3204">
            <v>0</v>
          </cell>
          <cell r="K3204">
            <v>0</v>
          </cell>
        </row>
        <row r="3205">
          <cell r="A3205">
            <v>0</v>
          </cell>
          <cell r="K3205">
            <v>0</v>
          </cell>
        </row>
        <row r="3206">
          <cell r="A3206">
            <v>0</v>
          </cell>
          <cell r="K3206">
            <v>0</v>
          </cell>
        </row>
        <row r="3207">
          <cell r="A3207">
            <v>0</v>
          </cell>
          <cell r="K3207">
            <v>0</v>
          </cell>
        </row>
        <row r="3208">
          <cell r="A3208">
            <v>0</v>
          </cell>
          <cell r="K3208">
            <v>0</v>
          </cell>
        </row>
        <row r="3209">
          <cell r="A3209">
            <v>0</v>
          </cell>
          <cell r="K3209">
            <v>0</v>
          </cell>
        </row>
        <row r="3210">
          <cell r="A3210">
            <v>0</v>
          </cell>
          <cell r="K3210">
            <v>0</v>
          </cell>
        </row>
        <row r="3211">
          <cell r="A3211">
            <v>0</v>
          </cell>
          <cell r="K3211">
            <v>0</v>
          </cell>
        </row>
        <row r="3212">
          <cell r="A3212">
            <v>0</v>
          </cell>
          <cell r="K3212">
            <v>0</v>
          </cell>
        </row>
        <row r="3213">
          <cell r="A3213">
            <v>0</v>
          </cell>
          <cell r="K3213">
            <v>0</v>
          </cell>
        </row>
        <row r="3214">
          <cell r="A3214">
            <v>0</v>
          </cell>
          <cell r="K3214">
            <v>0</v>
          </cell>
        </row>
        <row r="3215">
          <cell r="A3215">
            <v>0</v>
          </cell>
          <cell r="K3215">
            <v>0</v>
          </cell>
        </row>
        <row r="3216">
          <cell r="A3216">
            <v>0</v>
          </cell>
          <cell r="K3216">
            <v>0</v>
          </cell>
        </row>
        <row r="3217">
          <cell r="A3217">
            <v>0</v>
          </cell>
          <cell r="K3217">
            <v>0</v>
          </cell>
        </row>
        <row r="3218">
          <cell r="A3218">
            <v>0</v>
          </cell>
          <cell r="K3218">
            <v>0</v>
          </cell>
        </row>
        <row r="3219">
          <cell r="A3219">
            <v>0</v>
          </cell>
          <cell r="K3219">
            <v>0</v>
          </cell>
        </row>
        <row r="3220">
          <cell r="A3220">
            <v>0</v>
          </cell>
          <cell r="K3220">
            <v>0</v>
          </cell>
        </row>
        <row r="3221">
          <cell r="A3221">
            <v>0</v>
          </cell>
          <cell r="K3221">
            <v>0</v>
          </cell>
        </row>
        <row r="3222">
          <cell r="A3222">
            <v>0</v>
          </cell>
          <cell r="K3222">
            <v>0</v>
          </cell>
        </row>
        <row r="3223">
          <cell r="A3223">
            <v>0</v>
          </cell>
          <cell r="K3223">
            <v>0</v>
          </cell>
        </row>
        <row r="3224">
          <cell r="A3224">
            <v>0</v>
          </cell>
          <cell r="K3224">
            <v>0</v>
          </cell>
        </row>
        <row r="3225">
          <cell r="A3225">
            <v>0</v>
          </cell>
          <cell r="K3225">
            <v>0</v>
          </cell>
        </row>
        <row r="3226">
          <cell r="A3226">
            <v>0</v>
          </cell>
          <cell r="K3226">
            <v>0</v>
          </cell>
        </row>
        <row r="3227">
          <cell r="A3227">
            <v>0</v>
          </cell>
          <cell r="K3227">
            <v>0</v>
          </cell>
        </row>
        <row r="3228">
          <cell r="A3228">
            <v>0</v>
          </cell>
          <cell r="K3228">
            <v>0</v>
          </cell>
        </row>
        <row r="3229">
          <cell r="A3229">
            <v>0</v>
          </cell>
          <cell r="K3229">
            <v>0</v>
          </cell>
        </row>
        <row r="3230">
          <cell r="A3230">
            <v>0</v>
          </cell>
          <cell r="K3230">
            <v>0</v>
          </cell>
        </row>
        <row r="3231">
          <cell r="A3231">
            <v>0</v>
          </cell>
          <cell r="K3231">
            <v>0</v>
          </cell>
        </row>
        <row r="3232">
          <cell r="A3232">
            <v>0</v>
          </cell>
          <cell r="K3232">
            <v>0</v>
          </cell>
        </row>
        <row r="3233">
          <cell r="A3233">
            <v>0</v>
          </cell>
          <cell r="K3233">
            <v>0</v>
          </cell>
        </row>
        <row r="3234">
          <cell r="A3234">
            <v>0</v>
          </cell>
          <cell r="K3234">
            <v>0</v>
          </cell>
        </row>
        <row r="3235">
          <cell r="A3235">
            <v>0</v>
          </cell>
          <cell r="K3235">
            <v>0</v>
          </cell>
        </row>
        <row r="3236">
          <cell r="A3236">
            <v>0</v>
          </cell>
          <cell r="K3236">
            <v>0</v>
          </cell>
        </row>
        <row r="3237">
          <cell r="A3237">
            <v>0</v>
          </cell>
          <cell r="K3237">
            <v>0</v>
          </cell>
        </row>
        <row r="3238">
          <cell r="A3238">
            <v>0</v>
          </cell>
          <cell r="K3238">
            <v>0</v>
          </cell>
        </row>
        <row r="3239">
          <cell r="A3239">
            <v>0</v>
          </cell>
          <cell r="K3239">
            <v>0</v>
          </cell>
        </row>
        <row r="3240">
          <cell r="A3240">
            <v>0</v>
          </cell>
          <cell r="K3240">
            <v>0</v>
          </cell>
        </row>
        <row r="3241">
          <cell r="A3241">
            <v>0</v>
          </cell>
          <cell r="K3241">
            <v>0</v>
          </cell>
        </row>
        <row r="3242">
          <cell r="A3242">
            <v>0</v>
          </cell>
          <cell r="K3242">
            <v>0</v>
          </cell>
        </row>
        <row r="3243">
          <cell r="A3243">
            <v>0</v>
          </cell>
          <cell r="K3243">
            <v>0</v>
          </cell>
        </row>
        <row r="3244">
          <cell r="A3244">
            <v>0</v>
          </cell>
          <cell r="K3244">
            <v>0</v>
          </cell>
        </row>
        <row r="3245">
          <cell r="A3245">
            <v>0</v>
          </cell>
          <cell r="K3245">
            <v>0</v>
          </cell>
        </row>
        <row r="3246">
          <cell r="A3246">
            <v>0</v>
          </cell>
          <cell r="K3246">
            <v>0</v>
          </cell>
        </row>
        <row r="3247">
          <cell r="A3247">
            <v>0</v>
          </cell>
          <cell r="K3247">
            <v>0</v>
          </cell>
        </row>
        <row r="3248">
          <cell r="A3248">
            <v>0</v>
          </cell>
          <cell r="K3248">
            <v>0</v>
          </cell>
        </row>
        <row r="3249">
          <cell r="A3249">
            <v>0</v>
          </cell>
          <cell r="K3249">
            <v>0</v>
          </cell>
        </row>
        <row r="3250">
          <cell r="A3250">
            <v>0</v>
          </cell>
          <cell r="K3250">
            <v>0</v>
          </cell>
        </row>
        <row r="3251">
          <cell r="A3251">
            <v>0</v>
          </cell>
          <cell r="K3251">
            <v>0</v>
          </cell>
        </row>
        <row r="3252">
          <cell r="A3252">
            <v>0</v>
          </cell>
          <cell r="K3252">
            <v>0</v>
          </cell>
        </row>
        <row r="3253">
          <cell r="A3253">
            <v>0</v>
          </cell>
          <cell r="K3253">
            <v>0</v>
          </cell>
        </row>
        <row r="3254">
          <cell r="A3254">
            <v>0</v>
          </cell>
          <cell r="K3254">
            <v>0</v>
          </cell>
        </row>
        <row r="3255">
          <cell r="A3255">
            <v>0</v>
          </cell>
          <cell r="K3255">
            <v>0</v>
          </cell>
        </row>
        <row r="3256">
          <cell r="A3256">
            <v>0</v>
          </cell>
          <cell r="K3256">
            <v>0</v>
          </cell>
        </row>
        <row r="3257">
          <cell r="A3257">
            <v>0</v>
          </cell>
          <cell r="K3257">
            <v>0</v>
          </cell>
        </row>
        <row r="3258">
          <cell r="A3258">
            <v>0</v>
          </cell>
          <cell r="K3258">
            <v>0</v>
          </cell>
        </row>
        <row r="3259">
          <cell r="A3259">
            <v>0</v>
          </cell>
          <cell r="K3259">
            <v>0</v>
          </cell>
        </row>
        <row r="3260">
          <cell r="A3260">
            <v>0</v>
          </cell>
          <cell r="K3260">
            <v>0</v>
          </cell>
        </row>
        <row r="3261">
          <cell r="A3261">
            <v>0</v>
          </cell>
          <cell r="K3261">
            <v>0</v>
          </cell>
        </row>
        <row r="3262">
          <cell r="A3262">
            <v>0</v>
          </cell>
          <cell r="K3262">
            <v>0</v>
          </cell>
        </row>
        <row r="3263">
          <cell r="A3263">
            <v>0</v>
          </cell>
          <cell r="K3263">
            <v>0</v>
          </cell>
        </row>
        <row r="3264">
          <cell r="A3264">
            <v>0</v>
          </cell>
          <cell r="K3264">
            <v>0</v>
          </cell>
        </row>
        <row r="3265">
          <cell r="A3265">
            <v>0</v>
          </cell>
          <cell r="K3265">
            <v>0</v>
          </cell>
        </row>
        <row r="3266">
          <cell r="A3266">
            <v>0</v>
          </cell>
          <cell r="K3266">
            <v>0</v>
          </cell>
        </row>
        <row r="3267">
          <cell r="A3267">
            <v>0</v>
          </cell>
          <cell r="K3267">
            <v>0</v>
          </cell>
        </row>
        <row r="3268">
          <cell r="A3268">
            <v>0</v>
          </cell>
          <cell r="K3268">
            <v>0</v>
          </cell>
        </row>
        <row r="3269">
          <cell r="A3269">
            <v>0</v>
          </cell>
          <cell r="K3269">
            <v>0</v>
          </cell>
        </row>
        <row r="3270">
          <cell r="A3270">
            <v>0</v>
          </cell>
          <cell r="K3270">
            <v>0</v>
          </cell>
        </row>
        <row r="3271">
          <cell r="A3271">
            <v>0</v>
          </cell>
          <cell r="K3271">
            <v>0</v>
          </cell>
        </row>
        <row r="3272">
          <cell r="A3272">
            <v>0</v>
          </cell>
          <cell r="K3272">
            <v>0</v>
          </cell>
        </row>
        <row r="3273">
          <cell r="A3273">
            <v>0</v>
          </cell>
          <cell r="K3273">
            <v>0</v>
          </cell>
        </row>
        <row r="3274">
          <cell r="A3274">
            <v>0</v>
          </cell>
          <cell r="K3274">
            <v>0</v>
          </cell>
        </row>
        <row r="3275">
          <cell r="A3275">
            <v>0</v>
          </cell>
          <cell r="K3275">
            <v>0</v>
          </cell>
        </row>
        <row r="3276">
          <cell r="A3276">
            <v>0</v>
          </cell>
          <cell r="K3276">
            <v>0</v>
          </cell>
        </row>
        <row r="3277">
          <cell r="A3277">
            <v>0</v>
          </cell>
          <cell r="K3277">
            <v>0</v>
          </cell>
        </row>
        <row r="3278">
          <cell r="A3278">
            <v>0</v>
          </cell>
          <cell r="K3278">
            <v>0</v>
          </cell>
        </row>
        <row r="3279">
          <cell r="A3279">
            <v>0</v>
          </cell>
          <cell r="K3279">
            <v>0</v>
          </cell>
        </row>
        <row r="3280">
          <cell r="A3280">
            <v>0</v>
          </cell>
          <cell r="K3280">
            <v>0</v>
          </cell>
        </row>
        <row r="3281">
          <cell r="A3281">
            <v>0</v>
          </cell>
          <cell r="K3281">
            <v>0</v>
          </cell>
        </row>
        <row r="3282">
          <cell r="A3282">
            <v>0</v>
          </cell>
          <cell r="K3282">
            <v>0</v>
          </cell>
        </row>
        <row r="3283">
          <cell r="A3283">
            <v>0</v>
          </cell>
          <cell r="K3283">
            <v>0</v>
          </cell>
        </row>
        <row r="3284">
          <cell r="A3284">
            <v>0</v>
          </cell>
          <cell r="K3284">
            <v>0</v>
          </cell>
        </row>
        <row r="3285">
          <cell r="A3285">
            <v>0</v>
          </cell>
          <cell r="K3285">
            <v>0</v>
          </cell>
        </row>
        <row r="3286">
          <cell r="A3286">
            <v>0</v>
          </cell>
          <cell r="K3286">
            <v>0</v>
          </cell>
        </row>
        <row r="3287">
          <cell r="A3287">
            <v>0</v>
          </cell>
          <cell r="K3287">
            <v>0</v>
          </cell>
        </row>
        <row r="3288">
          <cell r="A3288">
            <v>0</v>
          </cell>
          <cell r="K3288">
            <v>0</v>
          </cell>
        </row>
        <row r="3289">
          <cell r="A3289">
            <v>0</v>
          </cell>
          <cell r="K3289">
            <v>0</v>
          </cell>
        </row>
        <row r="3290">
          <cell r="A3290">
            <v>0</v>
          </cell>
          <cell r="K3290">
            <v>0</v>
          </cell>
        </row>
        <row r="3291">
          <cell r="A3291">
            <v>0</v>
          </cell>
          <cell r="K3291">
            <v>0</v>
          </cell>
        </row>
        <row r="3292">
          <cell r="A3292">
            <v>0</v>
          </cell>
          <cell r="K3292">
            <v>0</v>
          </cell>
        </row>
        <row r="3293">
          <cell r="A3293">
            <v>0</v>
          </cell>
          <cell r="K3293">
            <v>0</v>
          </cell>
        </row>
        <row r="3294">
          <cell r="A3294">
            <v>0</v>
          </cell>
          <cell r="K3294">
            <v>0</v>
          </cell>
        </row>
        <row r="3295">
          <cell r="A3295">
            <v>0</v>
          </cell>
          <cell r="K3295">
            <v>0</v>
          </cell>
        </row>
        <row r="3296">
          <cell r="A3296">
            <v>0</v>
          </cell>
          <cell r="K3296">
            <v>0</v>
          </cell>
        </row>
        <row r="3297">
          <cell r="A3297">
            <v>0</v>
          </cell>
          <cell r="K3297">
            <v>0</v>
          </cell>
        </row>
        <row r="3298">
          <cell r="A3298">
            <v>0</v>
          </cell>
          <cell r="K3298">
            <v>0</v>
          </cell>
        </row>
        <row r="3299">
          <cell r="A3299">
            <v>0</v>
          </cell>
          <cell r="K3299">
            <v>0</v>
          </cell>
        </row>
        <row r="3300">
          <cell r="A3300">
            <v>0</v>
          </cell>
          <cell r="K3300">
            <v>0</v>
          </cell>
        </row>
        <row r="3301">
          <cell r="A3301">
            <v>0</v>
          </cell>
          <cell r="K3301">
            <v>0</v>
          </cell>
        </row>
        <row r="3302">
          <cell r="A3302">
            <v>0</v>
          </cell>
          <cell r="K3302">
            <v>0</v>
          </cell>
        </row>
        <row r="3303">
          <cell r="A3303">
            <v>0</v>
          </cell>
          <cell r="K3303">
            <v>0</v>
          </cell>
        </row>
        <row r="3304">
          <cell r="A3304">
            <v>0</v>
          </cell>
          <cell r="K3304">
            <v>0</v>
          </cell>
        </row>
        <row r="3305">
          <cell r="A3305">
            <v>0</v>
          </cell>
          <cell r="K3305">
            <v>0</v>
          </cell>
        </row>
        <row r="3306">
          <cell r="A3306">
            <v>0</v>
          </cell>
          <cell r="K3306">
            <v>0</v>
          </cell>
        </row>
        <row r="3307">
          <cell r="A3307">
            <v>0</v>
          </cell>
          <cell r="K3307">
            <v>0</v>
          </cell>
        </row>
        <row r="3308">
          <cell r="A3308">
            <v>0</v>
          </cell>
          <cell r="K3308">
            <v>0</v>
          </cell>
        </row>
        <row r="3309">
          <cell r="A3309">
            <v>0</v>
          </cell>
          <cell r="K3309">
            <v>0</v>
          </cell>
        </row>
        <row r="3310">
          <cell r="A3310">
            <v>0</v>
          </cell>
          <cell r="K3310">
            <v>0</v>
          </cell>
        </row>
        <row r="3311">
          <cell r="A3311">
            <v>0</v>
          </cell>
          <cell r="K3311">
            <v>0</v>
          </cell>
        </row>
        <row r="3312">
          <cell r="A3312">
            <v>0</v>
          </cell>
          <cell r="K3312">
            <v>0</v>
          </cell>
        </row>
        <row r="3313">
          <cell r="A3313">
            <v>0</v>
          </cell>
          <cell r="K3313">
            <v>0</v>
          </cell>
        </row>
        <row r="3314">
          <cell r="A3314">
            <v>0</v>
          </cell>
          <cell r="K3314">
            <v>0</v>
          </cell>
        </row>
        <row r="3315">
          <cell r="A3315">
            <v>0</v>
          </cell>
          <cell r="K3315">
            <v>0</v>
          </cell>
        </row>
        <row r="3316">
          <cell r="A3316">
            <v>0</v>
          </cell>
          <cell r="K3316">
            <v>0</v>
          </cell>
        </row>
        <row r="3317">
          <cell r="A3317">
            <v>0</v>
          </cell>
          <cell r="K3317">
            <v>0</v>
          </cell>
        </row>
        <row r="3318">
          <cell r="A3318">
            <v>0</v>
          </cell>
          <cell r="K3318">
            <v>0</v>
          </cell>
        </row>
        <row r="3319">
          <cell r="A3319">
            <v>0</v>
          </cell>
          <cell r="K3319">
            <v>0</v>
          </cell>
        </row>
        <row r="3320">
          <cell r="A3320">
            <v>0</v>
          </cell>
          <cell r="K3320">
            <v>0</v>
          </cell>
        </row>
        <row r="3321">
          <cell r="A3321">
            <v>0</v>
          </cell>
          <cell r="K3321">
            <v>0</v>
          </cell>
        </row>
        <row r="3322">
          <cell r="A3322">
            <v>0</v>
          </cell>
          <cell r="K3322">
            <v>0</v>
          </cell>
        </row>
        <row r="3323">
          <cell r="A3323">
            <v>0</v>
          </cell>
          <cell r="K3323">
            <v>0</v>
          </cell>
        </row>
        <row r="3324">
          <cell r="A3324">
            <v>0</v>
          </cell>
          <cell r="K3324">
            <v>0</v>
          </cell>
        </row>
        <row r="3325">
          <cell r="A3325">
            <v>0</v>
          </cell>
          <cell r="K3325">
            <v>0</v>
          </cell>
        </row>
        <row r="3326">
          <cell r="A3326">
            <v>0</v>
          </cell>
          <cell r="K3326">
            <v>0</v>
          </cell>
        </row>
        <row r="3327">
          <cell r="A3327">
            <v>0</v>
          </cell>
          <cell r="K3327">
            <v>0</v>
          </cell>
        </row>
        <row r="3328">
          <cell r="A3328">
            <v>0</v>
          </cell>
          <cell r="K3328">
            <v>0</v>
          </cell>
        </row>
        <row r="3329">
          <cell r="A3329">
            <v>0</v>
          </cell>
          <cell r="K3329">
            <v>0</v>
          </cell>
        </row>
        <row r="3330">
          <cell r="A3330">
            <v>0</v>
          </cell>
          <cell r="K3330">
            <v>0</v>
          </cell>
        </row>
        <row r="3331">
          <cell r="A3331">
            <v>0</v>
          </cell>
          <cell r="K3331">
            <v>0</v>
          </cell>
        </row>
        <row r="3332">
          <cell r="A3332">
            <v>0</v>
          </cell>
          <cell r="K3332">
            <v>0</v>
          </cell>
        </row>
        <row r="3333">
          <cell r="A3333">
            <v>0</v>
          </cell>
          <cell r="K3333">
            <v>0</v>
          </cell>
        </row>
        <row r="3334">
          <cell r="A3334">
            <v>0</v>
          </cell>
          <cell r="K3334">
            <v>0</v>
          </cell>
        </row>
        <row r="3335">
          <cell r="A3335">
            <v>0</v>
          </cell>
          <cell r="K3335">
            <v>0</v>
          </cell>
        </row>
        <row r="3336">
          <cell r="A3336">
            <v>0</v>
          </cell>
          <cell r="K3336">
            <v>0</v>
          </cell>
        </row>
        <row r="3337">
          <cell r="A3337">
            <v>0</v>
          </cell>
          <cell r="K3337">
            <v>0</v>
          </cell>
        </row>
        <row r="3338">
          <cell r="A3338">
            <v>0</v>
          </cell>
          <cell r="K3338">
            <v>0</v>
          </cell>
        </row>
        <row r="3339">
          <cell r="A3339">
            <v>0</v>
          </cell>
          <cell r="K3339">
            <v>0</v>
          </cell>
        </row>
        <row r="3340">
          <cell r="A3340">
            <v>0</v>
          </cell>
          <cell r="K3340">
            <v>0</v>
          </cell>
        </row>
        <row r="3341">
          <cell r="A3341">
            <v>0</v>
          </cell>
          <cell r="K3341">
            <v>0</v>
          </cell>
        </row>
        <row r="3342">
          <cell r="A3342">
            <v>0</v>
          </cell>
          <cell r="K3342">
            <v>0</v>
          </cell>
        </row>
        <row r="3343">
          <cell r="A3343">
            <v>0</v>
          </cell>
          <cell r="K3343">
            <v>0</v>
          </cell>
        </row>
        <row r="3344">
          <cell r="A3344">
            <v>0</v>
          </cell>
          <cell r="K3344">
            <v>0</v>
          </cell>
        </row>
        <row r="3345">
          <cell r="A3345">
            <v>0</v>
          </cell>
          <cell r="K3345">
            <v>0</v>
          </cell>
        </row>
        <row r="3346">
          <cell r="A3346">
            <v>0</v>
          </cell>
          <cell r="K3346">
            <v>0</v>
          </cell>
        </row>
        <row r="3347">
          <cell r="A3347">
            <v>0</v>
          </cell>
          <cell r="K3347">
            <v>0</v>
          </cell>
        </row>
        <row r="3348">
          <cell r="A3348">
            <v>0</v>
          </cell>
          <cell r="K3348">
            <v>0</v>
          </cell>
        </row>
        <row r="3349">
          <cell r="A3349">
            <v>0</v>
          </cell>
          <cell r="K3349">
            <v>0</v>
          </cell>
        </row>
        <row r="3350">
          <cell r="A3350">
            <v>0</v>
          </cell>
          <cell r="K3350">
            <v>0</v>
          </cell>
        </row>
        <row r="3351">
          <cell r="A3351">
            <v>0</v>
          </cell>
          <cell r="K3351">
            <v>0</v>
          </cell>
        </row>
        <row r="3352">
          <cell r="A3352">
            <v>0</v>
          </cell>
          <cell r="K3352">
            <v>0</v>
          </cell>
        </row>
        <row r="3353">
          <cell r="A3353">
            <v>0</v>
          </cell>
          <cell r="K3353">
            <v>0</v>
          </cell>
        </row>
        <row r="3354">
          <cell r="A3354">
            <v>0</v>
          </cell>
          <cell r="K3354">
            <v>0</v>
          </cell>
        </row>
        <row r="3355">
          <cell r="A3355">
            <v>0</v>
          </cell>
          <cell r="K3355">
            <v>0</v>
          </cell>
        </row>
        <row r="3356">
          <cell r="A3356">
            <v>0</v>
          </cell>
          <cell r="K3356">
            <v>0</v>
          </cell>
        </row>
        <row r="3357">
          <cell r="A3357">
            <v>0</v>
          </cell>
          <cell r="K3357">
            <v>0</v>
          </cell>
        </row>
        <row r="3358">
          <cell r="A3358">
            <v>0</v>
          </cell>
          <cell r="K3358">
            <v>0</v>
          </cell>
        </row>
        <row r="3359">
          <cell r="A3359">
            <v>0</v>
          </cell>
          <cell r="K3359">
            <v>0</v>
          </cell>
        </row>
        <row r="3360">
          <cell r="A3360">
            <v>0</v>
          </cell>
          <cell r="K3360">
            <v>0</v>
          </cell>
        </row>
        <row r="3361">
          <cell r="A3361">
            <v>0</v>
          </cell>
          <cell r="K3361">
            <v>0</v>
          </cell>
        </row>
        <row r="3362">
          <cell r="A3362">
            <v>0</v>
          </cell>
          <cell r="K3362">
            <v>0</v>
          </cell>
        </row>
        <row r="3363">
          <cell r="A3363">
            <v>0</v>
          </cell>
          <cell r="K3363">
            <v>0</v>
          </cell>
        </row>
        <row r="3364">
          <cell r="A3364">
            <v>0</v>
          </cell>
          <cell r="K3364">
            <v>0</v>
          </cell>
        </row>
        <row r="3365">
          <cell r="A3365">
            <v>0</v>
          </cell>
          <cell r="K3365">
            <v>0</v>
          </cell>
        </row>
        <row r="3366">
          <cell r="A3366">
            <v>0</v>
          </cell>
          <cell r="K3366">
            <v>0</v>
          </cell>
        </row>
        <row r="3367">
          <cell r="A3367">
            <v>0</v>
          </cell>
          <cell r="K3367">
            <v>0</v>
          </cell>
        </row>
        <row r="3368">
          <cell r="A3368">
            <v>0</v>
          </cell>
          <cell r="K3368">
            <v>0</v>
          </cell>
        </row>
        <row r="3369">
          <cell r="A3369">
            <v>0</v>
          </cell>
          <cell r="K3369">
            <v>0</v>
          </cell>
        </row>
        <row r="3370">
          <cell r="A3370">
            <v>0</v>
          </cell>
          <cell r="K3370">
            <v>0</v>
          </cell>
        </row>
        <row r="3371">
          <cell r="A3371">
            <v>0</v>
          </cell>
          <cell r="K3371">
            <v>0</v>
          </cell>
        </row>
        <row r="3372">
          <cell r="A3372">
            <v>0</v>
          </cell>
          <cell r="K3372">
            <v>0</v>
          </cell>
        </row>
        <row r="3373">
          <cell r="A3373">
            <v>0</v>
          </cell>
          <cell r="K3373">
            <v>0</v>
          </cell>
        </row>
        <row r="3374">
          <cell r="A3374">
            <v>0</v>
          </cell>
          <cell r="K3374">
            <v>0</v>
          </cell>
        </row>
        <row r="3375">
          <cell r="A3375">
            <v>0</v>
          </cell>
          <cell r="K3375">
            <v>0</v>
          </cell>
        </row>
        <row r="3376">
          <cell r="A3376">
            <v>0</v>
          </cell>
          <cell r="K3376">
            <v>0</v>
          </cell>
        </row>
        <row r="3377">
          <cell r="A3377">
            <v>0</v>
          </cell>
          <cell r="K3377">
            <v>0</v>
          </cell>
        </row>
        <row r="3378">
          <cell r="A3378">
            <v>0</v>
          </cell>
          <cell r="K3378">
            <v>0</v>
          </cell>
        </row>
        <row r="3379">
          <cell r="A3379">
            <v>0</v>
          </cell>
          <cell r="K3379">
            <v>0</v>
          </cell>
        </row>
        <row r="3380">
          <cell r="A3380">
            <v>0</v>
          </cell>
          <cell r="K3380">
            <v>0</v>
          </cell>
        </row>
        <row r="3381">
          <cell r="A3381">
            <v>0</v>
          </cell>
          <cell r="K3381">
            <v>0</v>
          </cell>
        </row>
        <row r="3382">
          <cell r="A3382">
            <v>0</v>
          </cell>
          <cell r="K3382">
            <v>0</v>
          </cell>
        </row>
        <row r="3383">
          <cell r="A3383">
            <v>0</v>
          </cell>
          <cell r="K3383">
            <v>0</v>
          </cell>
        </row>
        <row r="3384">
          <cell r="A3384">
            <v>0</v>
          </cell>
          <cell r="K3384">
            <v>0</v>
          </cell>
        </row>
        <row r="3385">
          <cell r="A3385">
            <v>0</v>
          </cell>
          <cell r="K3385">
            <v>0</v>
          </cell>
        </row>
        <row r="3386">
          <cell r="A3386">
            <v>0</v>
          </cell>
          <cell r="K3386">
            <v>0</v>
          </cell>
        </row>
        <row r="3387">
          <cell r="A3387">
            <v>0</v>
          </cell>
          <cell r="K3387">
            <v>0</v>
          </cell>
        </row>
        <row r="3388">
          <cell r="A3388">
            <v>0</v>
          </cell>
          <cell r="K3388">
            <v>0</v>
          </cell>
        </row>
        <row r="3389">
          <cell r="A3389">
            <v>0</v>
          </cell>
          <cell r="K3389">
            <v>0</v>
          </cell>
        </row>
        <row r="3390">
          <cell r="A3390">
            <v>0</v>
          </cell>
          <cell r="K3390">
            <v>0</v>
          </cell>
        </row>
        <row r="3391">
          <cell r="A3391">
            <v>0</v>
          </cell>
          <cell r="K3391">
            <v>0</v>
          </cell>
        </row>
        <row r="3392">
          <cell r="A3392">
            <v>0</v>
          </cell>
          <cell r="K3392">
            <v>0</v>
          </cell>
        </row>
        <row r="3393">
          <cell r="A3393">
            <v>0</v>
          </cell>
          <cell r="K3393">
            <v>0</v>
          </cell>
        </row>
        <row r="3394">
          <cell r="A3394">
            <v>0</v>
          </cell>
          <cell r="K3394">
            <v>0</v>
          </cell>
        </row>
        <row r="3395">
          <cell r="A3395">
            <v>0</v>
          </cell>
          <cell r="K3395">
            <v>0</v>
          </cell>
        </row>
        <row r="3396">
          <cell r="A3396">
            <v>0</v>
          </cell>
          <cell r="K3396">
            <v>0</v>
          </cell>
        </row>
        <row r="3397">
          <cell r="A3397">
            <v>0</v>
          </cell>
          <cell r="K3397">
            <v>0</v>
          </cell>
        </row>
        <row r="3398">
          <cell r="A3398">
            <v>0</v>
          </cell>
          <cell r="K3398">
            <v>0</v>
          </cell>
        </row>
        <row r="3399">
          <cell r="A3399">
            <v>0</v>
          </cell>
          <cell r="K3399">
            <v>0</v>
          </cell>
        </row>
        <row r="3400">
          <cell r="A3400">
            <v>0</v>
          </cell>
          <cell r="K3400">
            <v>0</v>
          </cell>
        </row>
        <row r="3401">
          <cell r="A3401">
            <v>0</v>
          </cell>
          <cell r="K3401">
            <v>0</v>
          </cell>
        </row>
        <row r="3402">
          <cell r="A3402">
            <v>0</v>
          </cell>
          <cell r="K3402">
            <v>0</v>
          </cell>
        </row>
        <row r="3403">
          <cell r="A3403">
            <v>0</v>
          </cell>
          <cell r="K3403">
            <v>0</v>
          </cell>
        </row>
        <row r="3404">
          <cell r="A3404">
            <v>0</v>
          </cell>
          <cell r="K3404">
            <v>0</v>
          </cell>
        </row>
        <row r="3405">
          <cell r="A3405">
            <v>0</v>
          </cell>
          <cell r="K3405">
            <v>0</v>
          </cell>
        </row>
        <row r="3406">
          <cell r="A3406">
            <v>0</v>
          </cell>
          <cell r="K3406">
            <v>0</v>
          </cell>
        </row>
        <row r="3407">
          <cell r="A3407">
            <v>0</v>
          </cell>
          <cell r="K3407">
            <v>0</v>
          </cell>
        </row>
        <row r="3408">
          <cell r="A3408">
            <v>0</v>
          </cell>
          <cell r="K3408">
            <v>0</v>
          </cell>
        </row>
        <row r="3409">
          <cell r="A3409">
            <v>0</v>
          </cell>
          <cell r="K3409">
            <v>0</v>
          </cell>
        </row>
        <row r="3410">
          <cell r="A3410">
            <v>0</v>
          </cell>
          <cell r="K3410">
            <v>0</v>
          </cell>
        </row>
        <row r="3411">
          <cell r="A3411">
            <v>0</v>
          </cell>
          <cell r="K3411">
            <v>0</v>
          </cell>
        </row>
        <row r="3412">
          <cell r="A3412">
            <v>0</v>
          </cell>
          <cell r="K3412">
            <v>0</v>
          </cell>
        </row>
        <row r="3413">
          <cell r="A3413">
            <v>0</v>
          </cell>
          <cell r="K3413">
            <v>0</v>
          </cell>
        </row>
        <row r="3414">
          <cell r="A3414">
            <v>0</v>
          </cell>
          <cell r="K3414">
            <v>0</v>
          </cell>
        </row>
        <row r="3415">
          <cell r="A3415">
            <v>0</v>
          </cell>
          <cell r="K3415">
            <v>0</v>
          </cell>
        </row>
        <row r="3416">
          <cell r="A3416">
            <v>0</v>
          </cell>
          <cell r="K3416">
            <v>0</v>
          </cell>
        </row>
        <row r="3417">
          <cell r="A3417">
            <v>0</v>
          </cell>
          <cell r="K3417">
            <v>0</v>
          </cell>
        </row>
        <row r="3418">
          <cell r="A3418">
            <v>0</v>
          </cell>
          <cell r="K3418">
            <v>0</v>
          </cell>
        </row>
        <row r="3419">
          <cell r="A3419">
            <v>0</v>
          </cell>
          <cell r="K3419">
            <v>0</v>
          </cell>
        </row>
        <row r="3420">
          <cell r="A3420">
            <v>0</v>
          </cell>
          <cell r="K3420">
            <v>0</v>
          </cell>
        </row>
        <row r="3421">
          <cell r="A3421">
            <v>0</v>
          </cell>
          <cell r="K3421">
            <v>0</v>
          </cell>
        </row>
        <row r="3422">
          <cell r="A3422">
            <v>0</v>
          </cell>
          <cell r="K3422">
            <v>0</v>
          </cell>
        </row>
        <row r="3423">
          <cell r="A3423">
            <v>0</v>
          </cell>
          <cell r="K3423">
            <v>0</v>
          </cell>
        </row>
        <row r="3424">
          <cell r="A3424">
            <v>0</v>
          </cell>
          <cell r="K3424">
            <v>0</v>
          </cell>
        </row>
        <row r="3425">
          <cell r="A3425">
            <v>0</v>
          </cell>
          <cell r="K3425">
            <v>0</v>
          </cell>
        </row>
        <row r="3426">
          <cell r="A3426">
            <v>0</v>
          </cell>
          <cell r="K3426">
            <v>0</v>
          </cell>
        </row>
        <row r="3427">
          <cell r="A3427">
            <v>0</v>
          </cell>
          <cell r="K3427">
            <v>0</v>
          </cell>
        </row>
        <row r="3428">
          <cell r="A3428">
            <v>0</v>
          </cell>
          <cell r="K3428">
            <v>0</v>
          </cell>
        </row>
        <row r="3429">
          <cell r="A3429">
            <v>0</v>
          </cell>
          <cell r="K3429">
            <v>0</v>
          </cell>
        </row>
        <row r="3430">
          <cell r="A3430">
            <v>0</v>
          </cell>
          <cell r="K3430">
            <v>0</v>
          </cell>
        </row>
        <row r="3431">
          <cell r="A3431">
            <v>0</v>
          </cell>
          <cell r="K3431">
            <v>0</v>
          </cell>
        </row>
        <row r="3432">
          <cell r="A3432">
            <v>0</v>
          </cell>
          <cell r="K3432">
            <v>0</v>
          </cell>
        </row>
        <row r="3433">
          <cell r="A3433">
            <v>0</v>
          </cell>
          <cell r="K3433">
            <v>0</v>
          </cell>
        </row>
        <row r="3434">
          <cell r="A3434">
            <v>0</v>
          </cell>
          <cell r="K3434">
            <v>0</v>
          </cell>
        </row>
        <row r="3435">
          <cell r="A3435">
            <v>0</v>
          </cell>
          <cell r="K3435">
            <v>0</v>
          </cell>
        </row>
        <row r="3436">
          <cell r="A3436">
            <v>0</v>
          </cell>
          <cell r="K3436">
            <v>0</v>
          </cell>
        </row>
        <row r="3437">
          <cell r="A3437">
            <v>0</v>
          </cell>
          <cell r="K3437">
            <v>0</v>
          </cell>
        </row>
        <row r="3438">
          <cell r="A3438">
            <v>0</v>
          </cell>
          <cell r="K3438">
            <v>0</v>
          </cell>
        </row>
        <row r="3439">
          <cell r="A3439">
            <v>0</v>
          </cell>
          <cell r="K3439">
            <v>0</v>
          </cell>
        </row>
        <row r="3440">
          <cell r="A3440">
            <v>0</v>
          </cell>
          <cell r="K3440">
            <v>0</v>
          </cell>
        </row>
        <row r="3441">
          <cell r="A3441">
            <v>0</v>
          </cell>
          <cell r="K3441">
            <v>0</v>
          </cell>
        </row>
        <row r="3442">
          <cell r="A3442">
            <v>0</v>
          </cell>
          <cell r="K3442">
            <v>0</v>
          </cell>
        </row>
        <row r="3443">
          <cell r="A3443">
            <v>0</v>
          </cell>
          <cell r="K3443">
            <v>0</v>
          </cell>
        </row>
        <row r="3444">
          <cell r="A3444">
            <v>0</v>
          </cell>
          <cell r="K3444">
            <v>0</v>
          </cell>
        </row>
        <row r="3445">
          <cell r="A3445">
            <v>0</v>
          </cell>
          <cell r="K3445">
            <v>0</v>
          </cell>
        </row>
        <row r="3446">
          <cell r="A3446">
            <v>0</v>
          </cell>
          <cell r="K3446">
            <v>0</v>
          </cell>
        </row>
        <row r="3447">
          <cell r="A3447">
            <v>0</v>
          </cell>
          <cell r="K3447">
            <v>0</v>
          </cell>
        </row>
        <row r="3448">
          <cell r="A3448">
            <v>0</v>
          </cell>
          <cell r="K3448">
            <v>0</v>
          </cell>
        </row>
        <row r="3449">
          <cell r="A3449">
            <v>0</v>
          </cell>
          <cell r="K3449">
            <v>0</v>
          </cell>
        </row>
        <row r="3450">
          <cell r="A3450">
            <v>0</v>
          </cell>
          <cell r="K3450">
            <v>0</v>
          </cell>
        </row>
        <row r="3451">
          <cell r="A3451">
            <v>0</v>
          </cell>
          <cell r="K3451">
            <v>0</v>
          </cell>
        </row>
        <row r="3452">
          <cell r="A3452">
            <v>0</v>
          </cell>
          <cell r="K3452">
            <v>0</v>
          </cell>
        </row>
        <row r="3453">
          <cell r="A3453">
            <v>0</v>
          </cell>
          <cell r="K3453">
            <v>0</v>
          </cell>
        </row>
        <row r="3454">
          <cell r="A3454">
            <v>0</v>
          </cell>
          <cell r="K3454">
            <v>0</v>
          </cell>
        </row>
        <row r="3455">
          <cell r="A3455">
            <v>0</v>
          </cell>
          <cell r="K3455">
            <v>0</v>
          </cell>
        </row>
        <row r="3456">
          <cell r="A3456">
            <v>0</v>
          </cell>
          <cell r="K3456">
            <v>0</v>
          </cell>
        </row>
        <row r="3457">
          <cell r="A3457">
            <v>0</v>
          </cell>
          <cell r="K3457">
            <v>0</v>
          </cell>
        </row>
        <row r="3458">
          <cell r="A3458">
            <v>0</v>
          </cell>
          <cell r="K3458">
            <v>0</v>
          </cell>
        </row>
        <row r="3459">
          <cell r="A3459">
            <v>0</v>
          </cell>
          <cell r="K3459">
            <v>0</v>
          </cell>
        </row>
        <row r="3460">
          <cell r="A3460">
            <v>0</v>
          </cell>
          <cell r="K3460">
            <v>0</v>
          </cell>
        </row>
        <row r="3461">
          <cell r="A3461">
            <v>0</v>
          </cell>
          <cell r="K3461">
            <v>0</v>
          </cell>
        </row>
        <row r="3462">
          <cell r="A3462">
            <v>0</v>
          </cell>
          <cell r="K3462">
            <v>0</v>
          </cell>
        </row>
        <row r="3463">
          <cell r="A3463">
            <v>0</v>
          </cell>
          <cell r="K3463">
            <v>0</v>
          </cell>
        </row>
        <row r="3464">
          <cell r="A3464">
            <v>0</v>
          </cell>
          <cell r="K3464">
            <v>0</v>
          </cell>
        </row>
        <row r="3465">
          <cell r="A3465">
            <v>0</v>
          </cell>
          <cell r="K3465">
            <v>0</v>
          </cell>
        </row>
        <row r="3466">
          <cell r="A3466">
            <v>0</v>
          </cell>
          <cell r="K3466">
            <v>0</v>
          </cell>
        </row>
        <row r="3467">
          <cell r="A3467">
            <v>0</v>
          </cell>
          <cell r="K3467">
            <v>0</v>
          </cell>
        </row>
        <row r="3468">
          <cell r="A3468">
            <v>0</v>
          </cell>
          <cell r="K3468">
            <v>0</v>
          </cell>
        </row>
        <row r="3469">
          <cell r="A3469">
            <v>0</v>
          </cell>
          <cell r="K3469">
            <v>0</v>
          </cell>
        </row>
        <row r="3470">
          <cell r="A3470">
            <v>0</v>
          </cell>
          <cell r="K3470">
            <v>0</v>
          </cell>
        </row>
        <row r="3471">
          <cell r="A3471">
            <v>0</v>
          </cell>
          <cell r="K3471">
            <v>0</v>
          </cell>
        </row>
        <row r="3472">
          <cell r="A3472">
            <v>0</v>
          </cell>
          <cell r="K3472">
            <v>0</v>
          </cell>
        </row>
        <row r="3473">
          <cell r="A3473">
            <v>0</v>
          </cell>
          <cell r="K3473">
            <v>0</v>
          </cell>
        </row>
        <row r="3474">
          <cell r="A3474">
            <v>0</v>
          </cell>
          <cell r="K3474">
            <v>0</v>
          </cell>
        </row>
        <row r="3475">
          <cell r="A3475">
            <v>0</v>
          </cell>
          <cell r="K3475">
            <v>0</v>
          </cell>
        </row>
        <row r="3476">
          <cell r="A3476">
            <v>0</v>
          </cell>
          <cell r="K3476">
            <v>0</v>
          </cell>
        </row>
        <row r="3477">
          <cell r="A3477">
            <v>0</v>
          </cell>
          <cell r="K3477">
            <v>0</v>
          </cell>
        </row>
        <row r="3478">
          <cell r="A3478">
            <v>0</v>
          </cell>
          <cell r="K3478">
            <v>0</v>
          </cell>
        </row>
        <row r="3479">
          <cell r="A3479">
            <v>0</v>
          </cell>
          <cell r="K3479">
            <v>0</v>
          </cell>
        </row>
        <row r="3480">
          <cell r="A3480">
            <v>0</v>
          </cell>
          <cell r="K3480">
            <v>0</v>
          </cell>
        </row>
        <row r="3481">
          <cell r="A3481">
            <v>0</v>
          </cell>
          <cell r="K3481">
            <v>0</v>
          </cell>
        </row>
        <row r="3482">
          <cell r="A3482">
            <v>0</v>
          </cell>
          <cell r="K3482">
            <v>0</v>
          </cell>
        </row>
        <row r="3483">
          <cell r="A3483">
            <v>0</v>
          </cell>
          <cell r="K3483">
            <v>0</v>
          </cell>
        </row>
        <row r="3484">
          <cell r="A3484">
            <v>0</v>
          </cell>
          <cell r="K3484">
            <v>0</v>
          </cell>
        </row>
        <row r="3485">
          <cell r="A3485">
            <v>0</v>
          </cell>
          <cell r="K3485">
            <v>0</v>
          </cell>
        </row>
        <row r="3486">
          <cell r="A3486">
            <v>0</v>
          </cell>
          <cell r="K3486">
            <v>0</v>
          </cell>
        </row>
        <row r="3487">
          <cell r="A3487">
            <v>0</v>
          </cell>
          <cell r="K3487">
            <v>0</v>
          </cell>
        </row>
        <row r="3488">
          <cell r="A3488">
            <v>0</v>
          </cell>
          <cell r="K3488">
            <v>0</v>
          </cell>
        </row>
        <row r="3489">
          <cell r="A3489">
            <v>0</v>
          </cell>
          <cell r="K3489">
            <v>0</v>
          </cell>
        </row>
        <row r="3490">
          <cell r="A3490">
            <v>0</v>
          </cell>
          <cell r="K3490">
            <v>0</v>
          </cell>
        </row>
        <row r="3491">
          <cell r="A3491">
            <v>0</v>
          </cell>
          <cell r="K3491">
            <v>0</v>
          </cell>
        </row>
        <row r="3492">
          <cell r="A3492">
            <v>0</v>
          </cell>
          <cell r="K3492">
            <v>0</v>
          </cell>
        </row>
        <row r="3493">
          <cell r="A3493">
            <v>0</v>
          </cell>
          <cell r="K3493">
            <v>0</v>
          </cell>
        </row>
        <row r="3494">
          <cell r="A3494">
            <v>0</v>
          </cell>
          <cell r="K3494">
            <v>0</v>
          </cell>
        </row>
        <row r="3495">
          <cell r="A3495">
            <v>0</v>
          </cell>
          <cell r="K3495">
            <v>0</v>
          </cell>
        </row>
        <row r="3496">
          <cell r="A3496">
            <v>0</v>
          </cell>
          <cell r="K3496">
            <v>0</v>
          </cell>
        </row>
        <row r="3497">
          <cell r="A3497">
            <v>0</v>
          </cell>
          <cell r="K3497">
            <v>0</v>
          </cell>
        </row>
        <row r="3498">
          <cell r="A3498">
            <v>0</v>
          </cell>
          <cell r="K3498">
            <v>0</v>
          </cell>
        </row>
        <row r="3499">
          <cell r="A3499">
            <v>0</v>
          </cell>
          <cell r="K3499">
            <v>0</v>
          </cell>
        </row>
        <row r="3500">
          <cell r="A3500">
            <v>0</v>
          </cell>
          <cell r="K3500">
            <v>0</v>
          </cell>
        </row>
        <row r="3501">
          <cell r="A3501">
            <v>0</v>
          </cell>
          <cell r="K3501">
            <v>0</v>
          </cell>
        </row>
        <row r="3502">
          <cell r="A3502">
            <v>0</v>
          </cell>
          <cell r="K3502">
            <v>0</v>
          </cell>
        </row>
        <row r="3503">
          <cell r="A3503">
            <v>0</v>
          </cell>
          <cell r="K3503">
            <v>0</v>
          </cell>
        </row>
        <row r="3504">
          <cell r="A3504">
            <v>0</v>
          </cell>
          <cell r="K3504">
            <v>0</v>
          </cell>
        </row>
        <row r="3505">
          <cell r="A3505">
            <v>0</v>
          </cell>
          <cell r="K3505">
            <v>0</v>
          </cell>
        </row>
        <row r="3506">
          <cell r="A3506">
            <v>0</v>
          </cell>
          <cell r="K3506">
            <v>0</v>
          </cell>
        </row>
        <row r="3507">
          <cell r="A3507">
            <v>0</v>
          </cell>
          <cell r="K3507">
            <v>0</v>
          </cell>
        </row>
        <row r="3508">
          <cell r="A3508">
            <v>0</v>
          </cell>
          <cell r="K3508">
            <v>0</v>
          </cell>
        </row>
        <row r="3509">
          <cell r="A3509">
            <v>0</v>
          </cell>
          <cell r="K3509">
            <v>0</v>
          </cell>
        </row>
        <row r="3510">
          <cell r="A3510">
            <v>0</v>
          </cell>
          <cell r="K3510">
            <v>0</v>
          </cell>
        </row>
        <row r="3511">
          <cell r="A3511">
            <v>0</v>
          </cell>
          <cell r="K3511">
            <v>0</v>
          </cell>
        </row>
        <row r="3512">
          <cell r="A3512">
            <v>0</v>
          </cell>
          <cell r="K3512">
            <v>0</v>
          </cell>
        </row>
        <row r="3513">
          <cell r="A3513">
            <v>0</v>
          </cell>
          <cell r="K3513">
            <v>0</v>
          </cell>
        </row>
        <row r="3514">
          <cell r="A3514">
            <v>0</v>
          </cell>
          <cell r="K3514">
            <v>0</v>
          </cell>
        </row>
        <row r="3515">
          <cell r="A3515">
            <v>0</v>
          </cell>
          <cell r="K3515">
            <v>0</v>
          </cell>
        </row>
        <row r="3516">
          <cell r="A3516">
            <v>0</v>
          </cell>
          <cell r="K3516">
            <v>0</v>
          </cell>
        </row>
        <row r="3517">
          <cell r="A3517">
            <v>0</v>
          </cell>
          <cell r="K3517">
            <v>0</v>
          </cell>
        </row>
        <row r="3518">
          <cell r="A3518">
            <v>0</v>
          </cell>
          <cell r="K3518">
            <v>0</v>
          </cell>
        </row>
        <row r="3519">
          <cell r="A3519">
            <v>0</v>
          </cell>
          <cell r="K3519">
            <v>0</v>
          </cell>
        </row>
        <row r="3520">
          <cell r="A3520">
            <v>0</v>
          </cell>
          <cell r="K3520">
            <v>0</v>
          </cell>
        </row>
        <row r="3521">
          <cell r="A3521">
            <v>0</v>
          </cell>
          <cell r="K3521">
            <v>0</v>
          </cell>
        </row>
        <row r="3522">
          <cell r="A3522">
            <v>0</v>
          </cell>
          <cell r="K3522">
            <v>0</v>
          </cell>
        </row>
        <row r="3523">
          <cell r="A3523">
            <v>0</v>
          </cell>
          <cell r="K3523">
            <v>0</v>
          </cell>
        </row>
        <row r="3524">
          <cell r="A3524">
            <v>0</v>
          </cell>
          <cell r="K3524">
            <v>0</v>
          </cell>
        </row>
        <row r="3525">
          <cell r="A3525">
            <v>0</v>
          </cell>
          <cell r="K3525">
            <v>0</v>
          </cell>
        </row>
        <row r="3526">
          <cell r="A3526">
            <v>0</v>
          </cell>
          <cell r="K3526">
            <v>0</v>
          </cell>
        </row>
        <row r="3527">
          <cell r="A3527">
            <v>0</v>
          </cell>
          <cell r="K3527">
            <v>0</v>
          </cell>
        </row>
        <row r="3528">
          <cell r="A3528">
            <v>0</v>
          </cell>
          <cell r="K3528">
            <v>0</v>
          </cell>
        </row>
        <row r="3529">
          <cell r="A3529">
            <v>0</v>
          </cell>
          <cell r="K3529">
            <v>0</v>
          </cell>
        </row>
        <row r="3530">
          <cell r="A3530">
            <v>0</v>
          </cell>
          <cell r="K3530">
            <v>0</v>
          </cell>
        </row>
        <row r="3531">
          <cell r="A3531">
            <v>0</v>
          </cell>
          <cell r="K3531">
            <v>0</v>
          </cell>
        </row>
        <row r="3532">
          <cell r="A3532">
            <v>0</v>
          </cell>
          <cell r="K3532">
            <v>0</v>
          </cell>
        </row>
        <row r="3533">
          <cell r="A3533">
            <v>0</v>
          </cell>
          <cell r="K3533">
            <v>0</v>
          </cell>
        </row>
        <row r="3534">
          <cell r="A3534">
            <v>0</v>
          </cell>
          <cell r="K3534">
            <v>0</v>
          </cell>
        </row>
        <row r="3535">
          <cell r="A3535">
            <v>0</v>
          </cell>
          <cell r="K3535">
            <v>0</v>
          </cell>
        </row>
        <row r="3536">
          <cell r="A3536">
            <v>0</v>
          </cell>
          <cell r="K3536">
            <v>0</v>
          </cell>
        </row>
        <row r="3537">
          <cell r="A3537">
            <v>0</v>
          </cell>
          <cell r="K3537">
            <v>0</v>
          </cell>
        </row>
        <row r="3538">
          <cell r="A3538">
            <v>0</v>
          </cell>
          <cell r="K3538">
            <v>0</v>
          </cell>
        </row>
        <row r="3539">
          <cell r="A3539">
            <v>0</v>
          </cell>
          <cell r="K3539">
            <v>0</v>
          </cell>
        </row>
        <row r="3540">
          <cell r="A3540">
            <v>0</v>
          </cell>
          <cell r="K3540">
            <v>0</v>
          </cell>
        </row>
        <row r="3541">
          <cell r="A3541">
            <v>0</v>
          </cell>
          <cell r="K3541">
            <v>0</v>
          </cell>
        </row>
        <row r="3542">
          <cell r="A3542">
            <v>0</v>
          </cell>
          <cell r="K3542">
            <v>0</v>
          </cell>
        </row>
        <row r="3543">
          <cell r="A3543">
            <v>0</v>
          </cell>
          <cell r="K3543">
            <v>0</v>
          </cell>
        </row>
        <row r="3544">
          <cell r="A3544">
            <v>0</v>
          </cell>
          <cell r="K3544">
            <v>0</v>
          </cell>
        </row>
        <row r="3545">
          <cell r="A3545">
            <v>0</v>
          </cell>
          <cell r="K3545">
            <v>0</v>
          </cell>
        </row>
        <row r="3546">
          <cell r="A3546">
            <v>0</v>
          </cell>
          <cell r="K3546">
            <v>0</v>
          </cell>
        </row>
        <row r="3547">
          <cell r="A3547">
            <v>0</v>
          </cell>
          <cell r="K3547">
            <v>0</v>
          </cell>
        </row>
        <row r="3548">
          <cell r="A3548">
            <v>0</v>
          </cell>
          <cell r="K3548">
            <v>0</v>
          </cell>
        </row>
        <row r="3549">
          <cell r="A3549">
            <v>0</v>
          </cell>
          <cell r="K3549">
            <v>0</v>
          </cell>
        </row>
        <row r="3550">
          <cell r="A3550">
            <v>0</v>
          </cell>
          <cell r="K3550">
            <v>0</v>
          </cell>
        </row>
        <row r="3551">
          <cell r="A3551">
            <v>0</v>
          </cell>
          <cell r="K3551">
            <v>0</v>
          </cell>
        </row>
        <row r="3552">
          <cell r="A3552">
            <v>0</v>
          </cell>
          <cell r="K3552">
            <v>0</v>
          </cell>
        </row>
        <row r="3553">
          <cell r="A3553">
            <v>0</v>
          </cell>
          <cell r="K3553">
            <v>0</v>
          </cell>
        </row>
        <row r="3554">
          <cell r="A3554">
            <v>0</v>
          </cell>
          <cell r="K3554">
            <v>0</v>
          </cell>
        </row>
        <row r="3555">
          <cell r="A3555">
            <v>0</v>
          </cell>
          <cell r="K3555">
            <v>0</v>
          </cell>
        </row>
        <row r="3556">
          <cell r="A3556">
            <v>0</v>
          </cell>
          <cell r="K3556">
            <v>0</v>
          </cell>
        </row>
        <row r="3557">
          <cell r="A3557">
            <v>0</v>
          </cell>
          <cell r="K3557">
            <v>0</v>
          </cell>
        </row>
        <row r="3558">
          <cell r="A3558">
            <v>0</v>
          </cell>
          <cell r="K3558">
            <v>0</v>
          </cell>
        </row>
        <row r="3559">
          <cell r="A3559">
            <v>0</v>
          </cell>
          <cell r="K3559">
            <v>0</v>
          </cell>
        </row>
        <row r="3560">
          <cell r="A3560">
            <v>0</v>
          </cell>
          <cell r="K3560">
            <v>0</v>
          </cell>
        </row>
        <row r="3561">
          <cell r="A3561">
            <v>0</v>
          </cell>
          <cell r="K3561">
            <v>0</v>
          </cell>
        </row>
        <row r="3562">
          <cell r="A3562">
            <v>0</v>
          </cell>
          <cell r="K3562">
            <v>0</v>
          </cell>
        </row>
        <row r="3563">
          <cell r="A3563">
            <v>0</v>
          </cell>
          <cell r="K3563">
            <v>0</v>
          </cell>
        </row>
        <row r="3564">
          <cell r="A3564">
            <v>0</v>
          </cell>
          <cell r="K3564">
            <v>0</v>
          </cell>
        </row>
        <row r="3565">
          <cell r="A3565">
            <v>0</v>
          </cell>
          <cell r="K3565">
            <v>0</v>
          </cell>
        </row>
        <row r="3566">
          <cell r="A3566">
            <v>0</v>
          </cell>
          <cell r="K3566">
            <v>0</v>
          </cell>
        </row>
        <row r="3567">
          <cell r="A3567">
            <v>0</v>
          </cell>
          <cell r="K3567">
            <v>0</v>
          </cell>
        </row>
        <row r="3568">
          <cell r="A3568">
            <v>0</v>
          </cell>
          <cell r="K3568">
            <v>0</v>
          </cell>
        </row>
        <row r="3569">
          <cell r="A3569">
            <v>0</v>
          </cell>
          <cell r="K3569">
            <v>0</v>
          </cell>
        </row>
        <row r="3570">
          <cell r="A3570">
            <v>0</v>
          </cell>
          <cell r="K3570">
            <v>0</v>
          </cell>
        </row>
        <row r="3571">
          <cell r="A3571">
            <v>0</v>
          </cell>
          <cell r="K3571">
            <v>0</v>
          </cell>
        </row>
        <row r="3572">
          <cell r="A3572">
            <v>0</v>
          </cell>
          <cell r="K3572">
            <v>0</v>
          </cell>
        </row>
        <row r="3573">
          <cell r="A3573">
            <v>0</v>
          </cell>
          <cell r="K3573">
            <v>0</v>
          </cell>
        </row>
        <row r="3574">
          <cell r="A3574">
            <v>0</v>
          </cell>
          <cell r="K3574">
            <v>0</v>
          </cell>
        </row>
        <row r="3575">
          <cell r="A3575">
            <v>0</v>
          </cell>
          <cell r="K3575">
            <v>0</v>
          </cell>
        </row>
        <row r="3576">
          <cell r="A3576">
            <v>0</v>
          </cell>
          <cell r="K3576">
            <v>0</v>
          </cell>
        </row>
        <row r="3577">
          <cell r="A3577">
            <v>0</v>
          </cell>
          <cell r="K3577">
            <v>0</v>
          </cell>
        </row>
        <row r="3578">
          <cell r="A3578">
            <v>0</v>
          </cell>
          <cell r="K3578">
            <v>0</v>
          </cell>
        </row>
        <row r="3579">
          <cell r="A3579">
            <v>0</v>
          </cell>
          <cell r="K3579">
            <v>0</v>
          </cell>
        </row>
        <row r="3580">
          <cell r="A3580">
            <v>0</v>
          </cell>
          <cell r="K3580">
            <v>0</v>
          </cell>
        </row>
        <row r="3581">
          <cell r="A3581">
            <v>0</v>
          </cell>
          <cell r="K3581">
            <v>0</v>
          </cell>
        </row>
        <row r="3582">
          <cell r="A3582">
            <v>0</v>
          </cell>
          <cell r="K3582">
            <v>0</v>
          </cell>
        </row>
        <row r="3583">
          <cell r="A3583">
            <v>0</v>
          </cell>
          <cell r="K3583">
            <v>0</v>
          </cell>
        </row>
        <row r="3584">
          <cell r="A3584">
            <v>0</v>
          </cell>
          <cell r="K3584">
            <v>0</v>
          </cell>
        </row>
        <row r="3585">
          <cell r="A3585">
            <v>0</v>
          </cell>
          <cell r="K3585">
            <v>0</v>
          </cell>
        </row>
        <row r="3586">
          <cell r="A3586">
            <v>0</v>
          </cell>
          <cell r="K3586">
            <v>0</v>
          </cell>
        </row>
        <row r="3587">
          <cell r="A3587">
            <v>0</v>
          </cell>
          <cell r="K3587">
            <v>0</v>
          </cell>
        </row>
        <row r="3588">
          <cell r="A3588">
            <v>0</v>
          </cell>
          <cell r="K3588">
            <v>0</v>
          </cell>
        </row>
        <row r="3589">
          <cell r="A3589">
            <v>0</v>
          </cell>
          <cell r="K3589">
            <v>0</v>
          </cell>
        </row>
        <row r="3590">
          <cell r="A3590">
            <v>0</v>
          </cell>
          <cell r="K3590">
            <v>0</v>
          </cell>
        </row>
        <row r="3591">
          <cell r="A3591">
            <v>0</v>
          </cell>
          <cell r="K3591">
            <v>0</v>
          </cell>
        </row>
        <row r="3592">
          <cell r="A3592">
            <v>0</v>
          </cell>
          <cell r="K3592">
            <v>0</v>
          </cell>
        </row>
        <row r="3593">
          <cell r="A3593">
            <v>0</v>
          </cell>
          <cell r="K3593">
            <v>0</v>
          </cell>
        </row>
        <row r="3594">
          <cell r="A3594">
            <v>0</v>
          </cell>
          <cell r="K3594">
            <v>0</v>
          </cell>
        </row>
        <row r="3595">
          <cell r="A3595">
            <v>0</v>
          </cell>
          <cell r="K3595">
            <v>0</v>
          </cell>
        </row>
        <row r="3596">
          <cell r="A3596">
            <v>0</v>
          </cell>
          <cell r="K3596">
            <v>0</v>
          </cell>
        </row>
        <row r="3597">
          <cell r="A3597">
            <v>0</v>
          </cell>
          <cell r="K3597">
            <v>0</v>
          </cell>
        </row>
        <row r="3598">
          <cell r="A3598">
            <v>0</v>
          </cell>
          <cell r="K3598">
            <v>0</v>
          </cell>
        </row>
        <row r="3599">
          <cell r="A3599">
            <v>0</v>
          </cell>
          <cell r="K3599">
            <v>0</v>
          </cell>
        </row>
        <row r="3600">
          <cell r="A3600">
            <v>0</v>
          </cell>
          <cell r="K3600">
            <v>0</v>
          </cell>
        </row>
        <row r="3601">
          <cell r="A3601">
            <v>0</v>
          </cell>
          <cell r="K3601">
            <v>0</v>
          </cell>
        </row>
        <row r="3602">
          <cell r="A3602">
            <v>0</v>
          </cell>
          <cell r="K3602">
            <v>0</v>
          </cell>
        </row>
        <row r="3603">
          <cell r="A3603">
            <v>0</v>
          </cell>
          <cell r="K3603">
            <v>0</v>
          </cell>
        </row>
        <row r="3604">
          <cell r="A3604">
            <v>0</v>
          </cell>
          <cell r="K3604">
            <v>0</v>
          </cell>
        </row>
        <row r="3605">
          <cell r="A3605">
            <v>0</v>
          </cell>
          <cell r="K3605">
            <v>0</v>
          </cell>
        </row>
        <row r="3606">
          <cell r="A3606">
            <v>0</v>
          </cell>
          <cell r="K3606">
            <v>0</v>
          </cell>
        </row>
        <row r="3607">
          <cell r="A3607">
            <v>0</v>
          </cell>
          <cell r="K3607">
            <v>0</v>
          </cell>
        </row>
        <row r="3608">
          <cell r="A3608">
            <v>0</v>
          </cell>
          <cell r="K3608">
            <v>0</v>
          </cell>
        </row>
        <row r="3609">
          <cell r="A3609">
            <v>0</v>
          </cell>
          <cell r="K3609">
            <v>0</v>
          </cell>
        </row>
        <row r="3610">
          <cell r="A3610">
            <v>0</v>
          </cell>
          <cell r="K3610">
            <v>0</v>
          </cell>
        </row>
        <row r="3611">
          <cell r="A3611">
            <v>0</v>
          </cell>
          <cell r="K3611">
            <v>0</v>
          </cell>
        </row>
        <row r="3612">
          <cell r="A3612">
            <v>0</v>
          </cell>
          <cell r="K3612">
            <v>0</v>
          </cell>
        </row>
        <row r="3613">
          <cell r="A3613">
            <v>0</v>
          </cell>
          <cell r="K3613">
            <v>0</v>
          </cell>
        </row>
        <row r="3614">
          <cell r="A3614">
            <v>0</v>
          </cell>
          <cell r="K3614">
            <v>0</v>
          </cell>
        </row>
        <row r="3615">
          <cell r="A3615">
            <v>0</v>
          </cell>
          <cell r="K3615">
            <v>0</v>
          </cell>
        </row>
        <row r="3616">
          <cell r="A3616">
            <v>0</v>
          </cell>
          <cell r="K3616">
            <v>0</v>
          </cell>
        </row>
        <row r="3617">
          <cell r="A3617">
            <v>0</v>
          </cell>
          <cell r="K3617">
            <v>0</v>
          </cell>
        </row>
        <row r="3618">
          <cell r="A3618">
            <v>0</v>
          </cell>
          <cell r="K3618">
            <v>0</v>
          </cell>
        </row>
        <row r="3619">
          <cell r="A3619">
            <v>0</v>
          </cell>
          <cell r="K3619">
            <v>0</v>
          </cell>
        </row>
        <row r="3620">
          <cell r="A3620">
            <v>0</v>
          </cell>
          <cell r="K3620">
            <v>0</v>
          </cell>
        </row>
        <row r="3621">
          <cell r="A3621">
            <v>0</v>
          </cell>
          <cell r="K3621">
            <v>0</v>
          </cell>
        </row>
        <row r="3622">
          <cell r="A3622">
            <v>0</v>
          </cell>
          <cell r="K3622">
            <v>0</v>
          </cell>
        </row>
        <row r="3623">
          <cell r="A3623">
            <v>0</v>
          </cell>
          <cell r="K3623">
            <v>0</v>
          </cell>
        </row>
        <row r="3624">
          <cell r="A3624">
            <v>0</v>
          </cell>
          <cell r="K3624">
            <v>0</v>
          </cell>
        </row>
        <row r="3625">
          <cell r="A3625">
            <v>0</v>
          </cell>
          <cell r="K3625">
            <v>0</v>
          </cell>
        </row>
        <row r="3626">
          <cell r="A3626">
            <v>0</v>
          </cell>
          <cell r="K3626">
            <v>0</v>
          </cell>
        </row>
        <row r="3627">
          <cell r="A3627">
            <v>0</v>
          </cell>
          <cell r="K3627">
            <v>0</v>
          </cell>
        </row>
        <row r="3628">
          <cell r="A3628">
            <v>0</v>
          </cell>
          <cell r="K3628">
            <v>0</v>
          </cell>
        </row>
        <row r="3629">
          <cell r="A3629">
            <v>0</v>
          </cell>
          <cell r="K3629">
            <v>0</v>
          </cell>
        </row>
        <row r="3630">
          <cell r="A3630">
            <v>0</v>
          </cell>
          <cell r="K3630">
            <v>0</v>
          </cell>
        </row>
        <row r="3631">
          <cell r="A3631">
            <v>0</v>
          </cell>
          <cell r="K3631">
            <v>0</v>
          </cell>
        </row>
        <row r="3632">
          <cell r="A3632">
            <v>0</v>
          </cell>
          <cell r="K3632">
            <v>0</v>
          </cell>
        </row>
        <row r="3633">
          <cell r="A3633">
            <v>0</v>
          </cell>
          <cell r="K3633">
            <v>0</v>
          </cell>
        </row>
        <row r="3634">
          <cell r="A3634">
            <v>0</v>
          </cell>
          <cell r="K3634">
            <v>0</v>
          </cell>
        </row>
        <row r="3635">
          <cell r="A3635">
            <v>0</v>
          </cell>
          <cell r="K3635">
            <v>0</v>
          </cell>
        </row>
        <row r="3636">
          <cell r="A3636">
            <v>0</v>
          </cell>
          <cell r="K3636">
            <v>0</v>
          </cell>
        </row>
        <row r="3637">
          <cell r="A3637">
            <v>0</v>
          </cell>
          <cell r="K3637">
            <v>0</v>
          </cell>
        </row>
        <row r="3638">
          <cell r="A3638">
            <v>0</v>
          </cell>
          <cell r="K3638">
            <v>0</v>
          </cell>
        </row>
        <row r="3639">
          <cell r="A3639">
            <v>0</v>
          </cell>
          <cell r="K3639">
            <v>0</v>
          </cell>
        </row>
        <row r="3640">
          <cell r="A3640">
            <v>0</v>
          </cell>
          <cell r="K3640">
            <v>0</v>
          </cell>
        </row>
        <row r="3641">
          <cell r="A3641">
            <v>0</v>
          </cell>
          <cell r="K3641">
            <v>0</v>
          </cell>
        </row>
        <row r="3642">
          <cell r="A3642">
            <v>0</v>
          </cell>
          <cell r="K3642">
            <v>0</v>
          </cell>
        </row>
        <row r="3643">
          <cell r="A3643">
            <v>0</v>
          </cell>
          <cell r="K3643">
            <v>0</v>
          </cell>
        </row>
        <row r="3644">
          <cell r="A3644">
            <v>0</v>
          </cell>
          <cell r="K3644">
            <v>0</v>
          </cell>
        </row>
        <row r="3645">
          <cell r="A3645">
            <v>0</v>
          </cell>
          <cell r="K3645">
            <v>0</v>
          </cell>
        </row>
        <row r="3646">
          <cell r="A3646">
            <v>0</v>
          </cell>
          <cell r="K3646">
            <v>0</v>
          </cell>
        </row>
        <row r="3647">
          <cell r="A3647">
            <v>0</v>
          </cell>
          <cell r="K3647">
            <v>0</v>
          </cell>
        </row>
        <row r="3648">
          <cell r="A3648">
            <v>0</v>
          </cell>
          <cell r="K3648">
            <v>0</v>
          </cell>
        </row>
        <row r="3649">
          <cell r="A3649">
            <v>0</v>
          </cell>
          <cell r="K3649">
            <v>0</v>
          </cell>
        </row>
        <row r="3650">
          <cell r="A3650">
            <v>0</v>
          </cell>
          <cell r="K3650">
            <v>0</v>
          </cell>
        </row>
        <row r="3651">
          <cell r="A3651">
            <v>0</v>
          </cell>
          <cell r="K3651">
            <v>0</v>
          </cell>
        </row>
        <row r="3652">
          <cell r="A3652">
            <v>0</v>
          </cell>
          <cell r="K3652">
            <v>0</v>
          </cell>
        </row>
        <row r="3653">
          <cell r="A3653">
            <v>0</v>
          </cell>
          <cell r="K3653">
            <v>0</v>
          </cell>
        </row>
        <row r="3654">
          <cell r="A3654">
            <v>0</v>
          </cell>
          <cell r="K3654">
            <v>0</v>
          </cell>
        </row>
        <row r="3655">
          <cell r="A3655">
            <v>0</v>
          </cell>
          <cell r="K3655">
            <v>0</v>
          </cell>
        </row>
        <row r="3656">
          <cell r="A3656">
            <v>0</v>
          </cell>
          <cell r="K3656">
            <v>0</v>
          </cell>
        </row>
        <row r="3657">
          <cell r="A3657">
            <v>0</v>
          </cell>
          <cell r="K3657">
            <v>0</v>
          </cell>
        </row>
        <row r="3658">
          <cell r="A3658">
            <v>0</v>
          </cell>
          <cell r="K3658">
            <v>0</v>
          </cell>
        </row>
        <row r="3659">
          <cell r="A3659">
            <v>0</v>
          </cell>
          <cell r="K3659">
            <v>0</v>
          </cell>
        </row>
        <row r="3660">
          <cell r="A3660">
            <v>0</v>
          </cell>
          <cell r="K3660">
            <v>0</v>
          </cell>
        </row>
        <row r="3661">
          <cell r="A3661">
            <v>0</v>
          </cell>
          <cell r="K3661">
            <v>0</v>
          </cell>
        </row>
        <row r="3662">
          <cell r="A3662">
            <v>0</v>
          </cell>
          <cell r="K3662">
            <v>0</v>
          </cell>
        </row>
        <row r="3663">
          <cell r="A3663">
            <v>0</v>
          </cell>
          <cell r="K3663">
            <v>0</v>
          </cell>
        </row>
        <row r="3664">
          <cell r="A3664">
            <v>0</v>
          </cell>
          <cell r="K3664">
            <v>0</v>
          </cell>
        </row>
        <row r="3665">
          <cell r="A3665">
            <v>0</v>
          </cell>
          <cell r="K3665">
            <v>0</v>
          </cell>
        </row>
        <row r="3666">
          <cell r="A3666">
            <v>0</v>
          </cell>
          <cell r="K3666">
            <v>0</v>
          </cell>
        </row>
        <row r="3667">
          <cell r="A3667">
            <v>0</v>
          </cell>
          <cell r="K3667">
            <v>0</v>
          </cell>
        </row>
        <row r="3668">
          <cell r="A3668">
            <v>0</v>
          </cell>
          <cell r="K3668">
            <v>0</v>
          </cell>
        </row>
        <row r="3669">
          <cell r="A3669">
            <v>0</v>
          </cell>
          <cell r="K3669">
            <v>0</v>
          </cell>
        </row>
        <row r="3670">
          <cell r="A3670">
            <v>0</v>
          </cell>
          <cell r="K3670">
            <v>0</v>
          </cell>
        </row>
        <row r="3671">
          <cell r="A3671">
            <v>0</v>
          </cell>
          <cell r="K3671">
            <v>0</v>
          </cell>
        </row>
        <row r="3672">
          <cell r="A3672">
            <v>0</v>
          </cell>
          <cell r="K3672">
            <v>0</v>
          </cell>
        </row>
        <row r="3673">
          <cell r="A3673">
            <v>0</v>
          </cell>
          <cell r="K3673">
            <v>0</v>
          </cell>
        </row>
        <row r="3674">
          <cell r="A3674">
            <v>0</v>
          </cell>
          <cell r="K3674">
            <v>0</v>
          </cell>
        </row>
        <row r="3675">
          <cell r="A3675">
            <v>0</v>
          </cell>
          <cell r="K3675">
            <v>0</v>
          </cell>
        </row>
        <row r="3676">
          <cell r="A3676">
            <v>0</v>
          </cell>
          <cell r="K3676">
            <v>0</v>
          </cell>
        </row>
        <row r="3677">
          <cell r="A3677">
            <v>0</v>
          </cell>
          <cell r="K3677">
            <v>0</v>
          </cell>
        </row>
        <row r="3678">
          <cell r="A3678">
            <v>0</v>
          </cell>
          <cell r="K3678">
            <v>0</v>
          </cell>
        </row>
        <row r="3679">
          <cell r="A3679">
            <v>0</v>
          </cell>
          <cell r="K3679">
            <v>0</v>
          </cell>
        </row>
        <row r="3680">
          <cell r="A3680">
            <v>0</v>
          </cell>
          <cell r="K3680">
            <v>0</v>
          </cell>
        </row>
        <row r="3681">
          <cell r="A3681">
            <v>0</v>
          </cell>
          <cell r="K3681">
            <v>0</v>
          </cell>
        </row>
        <row r="3682">
          <cell r="A3682">
            <v>0</v>
          </cell>
          <cell r="K3682">
            <v>0</v>
          </cell>
        </row>
        <row r="3683">
          <cell r="A3683">
            <v>0</v>
          </cell>
          <cell r="K3683">
            <v>0</v>
          </cell>
        </row>
        <row r="3684">
          <cell r="A3684">
            <v>0</v>
          </cell>
          <cell r="K3684">
            <v>0</v>
          </cell>
        </row>
        <row r="3685">
          <cell r="A3685">
            <v>0</v>
          </cell>
          <cell r="K3685">
            <v>0</v>
          </cell>
        </row>
        <row r="3686">
          <cell r="A3686">
            <v>0</v>
          </cell>
          <cell r="K3686">
            <v>0</v>
          </cell>
        </row>
        <row r="3687">
          <cell r="A3687">
            <v>0</v>
          </cell>
          <cell r="K3687">
            <v>0</v>
          </cell>
        </row>
        <row r="3688">
          <cell r="A3688">
            <v>0</v>
          </cell>
          <cell r="K3688">
            <v>0</v>
          </cell>
        </row>
        <row r="3689">
          <cell r="A3689">
            <v>0</v>
          </cell>
          <cell r="K3689">
            <v>0</v>
          </cell>
        </row>
        <row r="3690">
          <cell r="A3690">
            <v>0</v>
          </cell>
          <cell r="K3690">
            <v>0</v>
          </cell>
        </row>
        <row r="3691">
          <cell r="A3691">
            <v>0</v>
          </cell>
          <cell r="K3691">
            <v>0</v>
          </cell>
        </row>
        <row r="3692">
          <cell r="A3692">
            <v>0</v>
          </cell>
          <cell r="K3692">
            <v>0</v>
          </cell>
        </row>
        <row r="3693">
          <cell r="A3693">
            <v>0</v>
          </cell>
          <cell r="K3693">
            <v>0</v>
          </cell>
        </row>
        <row r="3694">
          <cell r="A3694">
            <v>0</v>
          </cell>
          <cell r="K3694">
            <v>0</v>
          </cell>
        </row>
        <row r="3695">
          <cell r="A3695">
            <v>0</v>
          </cell>
          <cell r="K3695">
            <v>0</v>
          </cell>
        </row>
        <row r="3696">
          <cell r="A3696">
            <v>0</v>
          </cell>
          <cell r="K3696">
            <v>0</v>
          </cell>
        </row>
        <row r="3697">
          <cell r="A3697">
            <v>0</v>
          </cell>
          <cell r="K3697">
            <v>0</v>
          </cell>
        </row>
        <row r="3698">
          <cell r="A3698">
            <v>0</v>
          </cell>
          <cell r="K3698">
            <v>0</v>
          </cell>
        </row>
        <row r="3699">
          <cell r="A3699">
            <v>0</v>
          </cell>
          <cell r="K3699">
            <v>0</v>
          </cell>
        </row>
        <row r="3700">
          <cell r="A3700">
            <v>0</v>
          </cell>
          <cell r="K3700">
            <v>0</v>
          </cell>
        </row>
        <row r="3701">
          <cell r="A3701">
            <v>0</v>
          </cell>
          <cell r="K3701">
            <v>0</v>
          </cell>
        </row>
        <row r="3702">
          <cell r="A3702">
            <v>0</v>
          </cell>
          <cell r="K3702">
            <v>0</v>
          </cell>
        </row>
        <row r="3703">
          <cell r="A3703">
            <v>0</v>
          </cell>
          <cell r="K3703">
            <v>0</v>
          </cell>
        </row>
        <row r="3704">
          <cell r="A3704">
            <v>0</v>
          </cell>
          <cell r="K3704">
            <v>0</v>
          </cell>
        </row>
        <row r="3705">
          <cell r="A3705">
            <v>0</v>
          </cell>
          <cell r="K3705">
            <v>0</v>
          </cell>
        </row>
        <row r="3706">
          <cell r="A3706">
            <v>0</v>
          </cell>
          <cell r="K3706">
            <v>0</v>
          </cell>
        </row>
        <row r="3707">
          <cell r="A3707">
            <v>0</v>
          </cell>
          <cell r="K3707">
            <v>0</v>
          </cell>
        </row>
        <row r="3708">
          <cell r="A3708">
            <v>0</v>
          </cell>
          <cell r="K3708">
            <v>0</v>
          </cell>
        </row>
        <row r="3709">
          <cell r="A3709">
            <v>0</v>
          </cell>
          <cell r="K3709">
            <v>0</v>
          </cell>
        </row>
        <row r="3710">
          <cell r="A3710">
            <v>0</v>
          </cell>
          <cell r="K3710">
            <v>0</v>
          </cell>
        </row>
        <row r="3711">
          <cell r="A3711">
            <v>0</v>
          </cell>
          <cell r="K3711">
            <v>0</v>
          </cell>
        </row>
        <row r="3712">
          <cell r="A3712">
            <v>0</v>
          </cell>
          <cell r="K3712">
            <v>0</v>
          </cell>
        </row>
        <row r="3713">
          <cell r="A3713">
            <v>0</v>
          </cell>
          <cell r="K3713">
            <v>0</v>
          </cell>
        </row>
        <row r="3714">
          <cell r="A3714">
            <v>0</v>
          </cell>
          <cell r="K3714">
            <v>0</v>
          </cell>
        </row>
        <row r="3715">
          <cell r="A3715">
            <v>0</v>
          </cell>
          <cell r="K3715">
            <v>0</v>
          </cell>
        </row>
        <row r="3716">
          <cell r="A3716">
            <v>0</v>
          </cell>
          <cell r="K3716">
            <v>0</v>
          </cell>
        </row>
        <row r="3717">
          <cell r="A3717">
            <v>0</v>
          </cell>
          <cell r="K3717">
            <v>0</v>
          </cell>
        </row>
        <row r="3718">
          <cell r="A3718">
            <v>0</v>
          </cell>
          <cell r="K3718">
            <v>0</v>
          </cell>
        </row>
        <row r="3719">
          <cell r="A3719">
            <v>0</v>
          </cell>
          <cell r="K3719">
            <v>0</v>
          </cell>
        </row>
        <row r="3720">
          <cell r="A3720">
            <v>0</v>
          </cell>
          <cell r="K3720">
            <v>0</v>
          </cell>
        </row>
        <row r="3721">
          <cell r="A3721">
            <v>0</v>
          </cell>
          <cell r="K3721">
            <v>0</v>
          </cell>
        </row>
        <row r="3722">
          <cell r="A3722">
            <v>0</v>
          </cell>
          <cell r="K3722">
            <v>0</v>
          </cell>
        </row>
        <row r="3723">
          <cell r="A3723">
            <v>0</v>
          </cell>
          <cell r="K3723">
            <v>0</v>
          </cell>
        </row>
        <row r="3724">
          <cell r="A3724">
            <v>0</v>
          </cell>
          <cell r="K3724">
            <v>0</v>
          </cell>
        </row>
        <row r="3725">
          <cell r="A3725">
            <v>0</v>
          </cell>
          <cell r="K3725">
            <v>0</v>
          </cell>
        </row>
        <row r="3726">
          <cell r="A3726">
            <v>0</v>
          </cell>
          <cell r="K3726">
            <v>0</v>
          </cell>
        </row>
        <row r="3727">
          <cell r="A3727">
            <v>0</v>
          </cell>
          <cell r="K3727">
            <v>0</v>
          </cell>
        </row>
        <row r="3728">
          <cell r="A3728">
            <v>0</v>
          </cell>
          <cell r="K3728">
            <v>0</v>
          </cell>
        </row>
        <row r="3729">
          <cell r="A3729">
            <v>0</v>
          </cell>
          <cell r="K3729">
            <v>0</v>
          </cell>
        </row>
        <row r="3730">
          <cell r="A3730">
            <v>0</v>
          </cell>
          <cell r="K3730">
            <v>0</v>
          </cell>
        </row>
        <row r="3731">
          <cell r="A3731">
            <v>0</v>
          </cell>
          <cell r="K3731">
            <v>0</v>
          </cell>
        </row>
        <row r="3732">
          <cell r="A3732">
            <v>0</v>
          </cell>
          <cell r="K3732">
            <v>0</v>
          </cell>
        </row>
        <row r="3733">
          <cell r="A3733">
            <v>0</v>
          </cell>
          <cell r="K3733">
            <v>0</v>
          </cell>
        </row>
        <row r="3734">
          <cell r="A3734">
            <v>0</v>
          </cell>
          <cell r="K3734">
            <v>0</v>
          </cell>
        </row>
        <row r="3735">
          <cell r="A3735">
            <v>0</v>
          </cell>
          <cell r="K3735">
            <v>0</v>
          </cell>
        </row>
        <row r="3736">
          <cell r="A3736">
            <v>0</v>
          </cell>
          <cell r="K3736">
            <v>0</v>
          </cell>
        </row>
        <row r="3737">
          <cell r="A3737">
            <v>0</v>
          </cell>
          <cell r="K3737">
            <v>0</v>
          </cell>
        </row>
        <row r="3738">
          <cell r="A3738">
            <v>0</v>
          </cell>
          <cell r="K3738">
            <v>0</v>
          </cell>
        </row>
        <row r="3739">
          <cell r="A3739">
            <v>0</v>
          </cell>
          <cell r="K3739">
            <v>0</v>
          </cell>
        </row>
        <row r="3740">
          <cell r="A3740">
            <v>0</v>
          </cell>
          <cell r="K3740">
            <v>0</v>
          </cell>
        </row>
        <row r="3741">
          <cell r="A3741">
            <v>0</v>
          </cell>
          <cell r="K3741">
            <v>0</v>
          </cell>
        </row>
        <row r="3742">
          <cell r="A3742">
            <v>0</v>
          </cell>
          <cell r="K3742">
            <v>0</v>
          </cell>
        </row>
        <row r="3743">
          <cell r="A3743">
            <v>0</v>
          </cell>
          <cell r="K3743">
            <v>0</v>
          </cell>
        </row>
        <row r="3744">
          <cell r="A3744">
            <v>0</v>
          </cell>
          <cell r="K3744">
            <v>0</v>
          </cell>
        </row>
        <row r="3745">
          <cell r="A3745">
            <v>0</v>
          </cell>
          <cell r="K3745">
            <v>0</v>
          </cell>
        </row>
        <row r="3746">
          <cell r="A3746">
            <v>0</v>
          </cell>
          <cell r="K3746">
            <v>0</v>
          </cell>
        </row>
        <row r="3747">
          <cell r="A3747">
            <v>0</v>
          </cell>
          <cell r="K3747">
            <v>0</v>
          </cell>
        </row>
        <row r="3748">
          <cell r="A3748">
            <v>0</v>
          </cell>
          <cell r="K3748">
            <v>0</v>
          </cell>
        </row>
        <row r="3749">
          <cell r="A3749">
            <v>0</v>
          </cell>
          <cell r="K3749">
            <v>0</v>
          </cell>
        </row>
        <row r="3750">
          <cell r="A3750">
            <v>0</v>
          </cell>
          <cell r="K3750">
            <v>0</v>
          </cell>
        </row>
        <row r="3751">
          <cell r="A3751">
            <v>0</v>
          </cell>
          <cell r="K3751">
            <v>0</v>
          </cell>
        </row>
        <row r="3752">
          <cell r="A3752">
            <v>0</v>
          </cell>
          <cell r="K3752">
            <v>0</v>
          </cell>
        </row>
        <row r="3753">
          <cell r="A3753">
            <v>0</v>
          </cell>
          <cell r="K3753">
            <v>0</v>
          </cell>
        </row>
        <row r="3754">
          <cell r="A3754">
            <v>0</v>
          </cell>
          <cell r="K3754">
            <v>0</v>
          </cell>
        </row>
        <row r="3755">
          <cell r="A3755">
            <v>0</v>
          </cell>
          <cell r="K3755">
            <v>0</v>
          </cell>
        </row>
        <row r="3756">
          <cell r="A3756">
            <v>0</v>
          </cell>
          <cell r="K3756">
            <v>0</v>
          </cell>
        </row>
        <row r="3757">
          <cell r="A3757">
            <v>0</v>
          </cell>
          <cell r="K3757">
            <v>0</v>
          </cell>
        </row>
        <row r="3758">
          <cell r="A3758">
            <v>0</v>
          </cell>
          <cell r="K3758">
            <v>0</v>
          </cell>
        </row>
        <row r="3759">
          <cell r="A3759">
            <v>0</v>
          </cell>
          <cell r="K3759">
            <v>0</v>
          </cell>
        </row>
        <row r="3760">
          <cell r="A3760">
            <v>0</v>
          </cell>
          <cell r="K3760">
            <v>0</v>
          </cell>
        </row>
        <row r="3761">
          <cell r="A3761">
            <v>0</v>
          </cell>
          <cell r="K3761">
            <v>0</v>
          </cell>
        </row>
        <row r="3762">
          <cell r="A3762">
            <v>0</v>
          </cell>
          <cell r="K3762">
            <v>0</v>
          </cell>
        </row>
        <row r="3763">
          <cell r="A3763">
            <v>0</v>
          </cell>
          <cell r="K3763">
            <v>0</v>
          </cell>
        </row>
        <row r="3764">
          <cell r="A3764">
            <v>0</v>
          </cell>
          <cell r="K3764">
            <v>0</v>
          </cell>
        </row>
        <row r="3765">
          <cell r="A3765">
            <v>0</v>
          </cell>
          <cell r="K3765">
            <v>0</v>
          </cell>
        </row>
        <row r="3766">
          <cell r="A3766">
            <v>0</v>
          </cell>
          <cell r="K3766">
            <v>0</v>
          </cell>
        </row>
        <row r="3767">
          <cell r="A3767">
            <v>0</v>
          </cell>
          <cell r="K3767">
            <v>0</v>
          </cell>
        </row>
        <row r="3768">
          <cell r="A3768">
            <v>0</v>
          </cell>
          <cell r="K3768">
            <v>0</v>
          </cell>
        </row>
        <row r="3769">
          <cell r="A3769">
            <v>0</v>
          </cell>
          <cell r="K3769">
            <v>0</v>
          </cell>
        </row>
        <row r="3770">
          <cell r="A3770">
            <v>0</v>
          </cell>
          <cell r="K3770">
            <v>0</v>
          </cell>
        </row>
        <row r="3771">
          <cell r="A3771">
            <v>0</v>
          </cell>
          <cell r="K3771">
            <v>0</v>
          </cell>
        </row>
        <row r="3772">
          <cell r="A3772">
            <v>0</v>
          </cell>
          <cell r="K3772">
            <v>0</v>
          </cell>
        </row>
        <row r="3773">
          <cell r="A3773">
            <v>0</v>
          </cell>
          <cell r="K3773">
            <v>0</v>
          </cell>
        </row>
        <row r="3774">
          <cell r="A3774">
            <v>0</v>
          </cell>
          <cell r="K3774">
            <v>0</v>
          </cell>
        </row>
        <row r="3775">
          <cell r="A3775">
            <v>0</v>
          </cell>
          <cell r="K3775">
            <v>0</v>
          </cell>
        </row>
        <row r="3776">
          <cell r="A3776">
            <v>0</v>
          </cell>
          <cell r="K3776">
            <v>0</v>
          </cell>
        </row>
        <row r="3777">
          <cell r="A3777">
            <v>0</v>
          </cell>
          <cell r="K3777">
            <v>0</v>
          </cell>
        </row>
        <row r="3778">
          <cell r="A3778">
            <v>0</v>
          </cell>
          <cell r="K3778">
            <v>0</v>
          </cell>
        </row>
        <row r="3779">
          <cell r="A3779">
            <v>0</v>
          </cell>
          <cell r="K3779">
            <v>0</v>
          </cell>
        </row>
        <row r="3780">
          <cell r="A3780">
            <v>0</v>
          </cell>
          <cell r="K3780">
            <v>0</v>
          </cell>
        </row>
        <row r="3781">
          <cell r="A3781">
            <v>0</v>
          </cell>
          <cell r="K3781">
            <v>0</v>
          </cell>
        </row>
        <row r="3782">
          <cell r="A3782">
            <v>0</v>
          </cell>
          <cell r="K3782">
            <v>0</v>
          </cell>
        </row>
        <row r="3783">
          <cell r="A3783">
            <v>0</v>
          </cell>
          <cell r="K3783">
            <v>0</v>
          </cell>
        </row>
        <row r="3784">
          <cell r="A3784">
            <v>0</v>
          </cell>
          <cell r="K3784">
            <v>0</v>
          </cell>
        </row>
        <row r="3785">
          <cell r="A3785">
            <v>0</v>
          </cell>
          <cell r="K3785">
            <v>0</v>
          </cell>
        </row>
        <row r="3786">
          <cell r="A3786">
            <v>0</v>
          </cell>
          <cell r="K3786">
            <v>0</v>
          </cell>
        </row>
        <row r="3787">
          <cell r="A3787">
            <v>0</v>
          </cell>
          <cell r="K3787">
            <v>0</v>
          </cell>
        </row>
        <row r="3788">
          <cell r="A3788">
            <v>0</v>
          </cell>
          <cell r="K3788">
            <v>0</v>
          </cell>
        </row>
        <row r="3789">
          <cell r="A3789">
            <v>0</v>
          </cell>
          <cell r="K3789">
            <v>0</v>
          </cell>
        </row>
        <row r="3790">
          <cell r="A3790">
            <v>0</v>
          </cell>
          <cell r="K3790">
            <v>0</v>
          </cell>
        </row>
        <row r="3791">
          <cell r="A3791">
            <v>0</v>
          </cell>
          <cell r="K3791">
            <v>0</v>
          </cell>
        </row>
        <row r="3792">
          <cell r="A3792">
            <v>0</v>
          </cell>
          <cell r="K3792">
            <v>0</v>
          </cell>
        </row>
        <row r="3793">
          <cell r="A3793">
            <v>0</v>
          </cell>
          <cell r="K3793">
            <v>0</v>
          </cell>
        </row>
        <row r="3794">
          <cell r="A3794">
            <v>0</v>
          </cell>
          <cell r="K3794">
            <v>0</v>
          </cell>
        </row>
        <row r="3795">
          <cell r="A3795">
            <v>0</v>
          </cell>
          <cell r="K3795">
            <v>0</v>
          </cell>
        </row>
        <row r="3796">
          <cell r="A3796">
            <v>0</v>
          </cell>
          <cell r="K3796">
            <v>0</v>
          </cell>
        </row>
        <row r="3797">
          <cell r="A3797">
            <v>0</v>
          </cell>
          <cell r="K3797">
            <v>0</v>
          </cell>
        </row>
        <row r="3798">
          <cell r="A3798">
            <v>0</v>
          </cell>
          <cell r="K3798">
            <v>0</v>
          </cell>
        </row>
        <row r="3799">
          <cell r="A3799">
            <v>0</v>
          </cell>
          <cell r="K3799">
            <v>0</v>
          </cell>
        </row>
        <row r="3800">
          <cell r="A3800">
            <v>0</v>
          </cell>
          <cell r="K3800">
            <v>0</v>
          </cell>
        </row>
        <row r="3801">
          <cell r="A3801">
            <v>0</v>
          </cell>
          <cell r="K3801">
            <v>0</v>
          </cell>
        </row>
        <row r="3802">
          <cell r="A3802">
            <v>0</v>
          </cell>
          <cell r="K3802">
            <v>0</v>
          </cell>
        </row>
        <row r="3803">
          <cell r="A3803">
            <v>0</v>
          </cell>
          <cell r="K3803">
            <v>0</v>
          </cell>
        </row>
        <row r="3804">
          <cell r="A3804">
            <v>0</v>
          </cell>
          <cell r="K3804">
            <v>0</v>
          </cell>
        </row>
        <row r="3805">
          <cell r="A3805">
            <v>0</v>
          </cell>
          <cell r="K3805">
            <v>0</v>
          </cell>
        </row>
        <row r="3806">
          <cell r="A3806">
            <v>0</v>
          </cell>
          <cell r="K3806">
            <v>0</v>
          </cell>
        </row>
        <row r="3807">
          <cell r="A3807">
            <v>0</v>
          </cell>
          <cell r="K3807">
            <v>0</v>
          </cell>
        </row>
        <row r="3808">
          <cell r="A3808">
            <v>0</v>
          </cell>
          <cell r="K3808">
            <v>0</v>
          </cell>
        </row>
        <row r="3809">
          <cell r="A3809">
            <v>0</v>
          </cell>
          <cell r="K3809">
            <v>0</v>
          </cell>
        </row>
        <row r="3810">
          <cell r="A3810">
            <v>0</v>
          </cell>
          <cell r="K3810">
            <v>0</v>
          </cell>
        </row>
        <row r="3811">
          <cell r="A3811">
            <v>0</v>
          </cell>
          <cell r="K3811">
            <v>0</v>
          </cell>
        </row>
        <row r="3812">
          <cell r="A3812">
            <v>0</v>
          </cell>
          <cell r="K3812">
            <v>0</v>
          </cell>
        </row>
        <row r="3813">
          <cell r="A3813">
            <v>0</v>
          </cell>
          <cell r="K3813">
            <v>0</v>
          </cell>
        </row>
        <row r="3814">
          <cell r="A3814">
            <v>0</v>
          </cell>
          <cell r="K3814">
            <v>0</v>
          </cell>
        </row>
        <row r="3815">
          <cell r="A3815">
            <v>0</v>
          </cell>
          <cell r="K3815">
            <v>0</v>
          </cell>
        </row>
        <row r="3816">
          <cell r="A3816">
            <v>0</v>
          </cell>
          <cell r="K3816">
            <v>0</v>
          </cell>
        </row>
        <row r="3817">
          <cell r="A3817">
            <v>0</v>
          </cell>
          <cell r="K3817">
            <v>0</v>
          </cell>
        </row>
        <row r="3818">
          <cell r="A3818">
            <v>0</v>
          </cell>
          <cell r="K3818">
            <v>0</v>
          </cell>
        </row>
        <row r="3819">
          <cell r="A3819">
            <v>0</v>
          </cell>
          <cell r="K3819">
            <v>0</v>
          </cell>
        </row>
        <row r="3820">
          <cell r="A3820">
            <v>0</v>
          </cell>
          <cell r="K3820">
            <v>0</v>
          </cell>
        </row>
        <row r="3821">
          <cell r="A3821">
            <v>0</v>
          </cell>
          <cell r="K3821">
            <v>0</v>
          </cell>
        </row>
        <row r="3822">
          <cell r="A3822">
            <v>0</v>
          </cell>
          <cell r="K3822">
            <v>0</v>
          </cell>
        </row>
        <row r="3823">
          <cell r="A3823">
            <v>0</v>
          </cell>
          <cell r="K3823">
            <v>0</v>
          </cell>
        </row>
        <row r="3824">
          <cell r="A3824">
            <v>0</v>
          </cell>
          <cell r="K3824">
            <v>0</v>
          </cell>
        </row>
        <row r="3825">
          <cell r="A3825">
            <v>0</v>
          </cell>
          <cell r="K3825">
            <v>0</v>
          </cell>
        </row>
        <row r="3826">
          <cell r="A3826">
            <v>0</v>
          </cell>
          <cell r="K3826">
            <v>0</v>
          </cell>
        </row>
        <row r="3827">
          <cell r="A3827">
            <v>0</v>
          </cell>
          <cell r="K3827">
            <v>0</v>
          </cell>
        </row>
        <row r="3828">
          <cell r="A3828">
            <v>0</v>
          </cell>
          <cell r="K3828">
            <v>0</v>
          </cell>
        </row>
        <row r="3829">
          <cell r="A3829">
            <v>0</v>
          </cell>
          <cell r="K3829">
            <v>0</v>
          </cell>
        </row>
        <row r="3830">
          <cell r="A3830">
            <v>0</v>
          </cell>
          <cell r="K3830">
            <v>0</v>
          </cell>
        </row>
        <row r="3831">
          <cell r="A3831">
            <v>0</v>
          </cell>
          <cell r="K3831">
            <v>0</v>
          </cell>
        </row>
        <row r="3832">
          <cell r="A3832">
            <v>0</v>
          </cell>
          <cell r="K3832">
            <v>0</v>
          </cell>
        </row>
        <row r="3833">
          <cell r="A3833">
            <v>0</v>
          </cell>
          <cell r="K3833">
            <v>0</v>
          </cell>
        </row>
        <row r="3834">
          <cell r="A3834">
            <v>0</v>
          </cell>
          <cell r="K3834">
            <v>0</v>
          </cell>
        </row>
        <row r="3835">
          <cell r="A3835">
            <v>0</v>
          </cell>
          <cell r="K3835">
            <v>0</v>
          </cell>
        </row>
        <row r="3836">
          <cell r="A3836">
            <v>0</v>
          </cell>
          <cell r="K3836">
            <v>0</v>
          </cell>
        </row>
        <row r="3837">
          <cell r="A3837">
            <v>0</v>
          </cell>
          <cell r="K3837">
            <v>0</v>
          </cell>
        </row>
        <row r="3838">
          <cell r="A3838">
            <v>0</v>
          </cell>
          <cell r="K3838">
            <v>0</v>
          </cell>
        </row>
        <row r="3839">
          <cell r="A3839">
            <v>0</v>
          </cell>
          <cell r="K3839">
            <v>0</v>
          </cell>
        </row>
        <row r="3840">
          <cell r="A3840">
            <v>0</v>
          </cell>
          <cell r="K3840">
            <v>0</v>
          </cell>
        </row>
        <row r="3841">
          <cell r="A3841">
            <v>0</v>
          </cell>
          <cell r="K3841">
            <v>0</v>
          </cell>
        </row>
        <row r="3842">
          <cell r="A3842">
            <v>0</v>
          </cell>
          <cell r="K3842">
            <v>0</v>
          </cell>
        </row>
        <row r="3843">
          <cell r="A3843">
            <v>0</v>
          </cell>
          <cell r="K3843">
            <v>0</v>
          </cell>
        </row>
        <row r="3844">
          <cell r="A3844">
            <v>0</v>
          </cell>
          <cell r="K3844">
            <v>0</v>
          </cell>
        </row>
        <row r="3845">
          <cell r="A3845">
            <v>0</v>
          </cell>
          <cell r="K3845">
            <v>0</v>
          </cell>
        </row>
        <row r="3846">
          <cell r="A3846">
            <v>0</v>
          </cell>
          <cell r="K3846">
            <v>0</v>
          </cell>
        </row>
        <row r="3847">
          <cell r="A3847">
            <v>0</v>
          </cell>
          <cell r="K3847">
            <v>0</v>
          </cell>
        </row>
        <row r="3848">
          <cell r="A3848">
            <v>0</v>
          </cell>
          <cell r="K3848">
            <v>0</v>
          </cell>
        </row>
        <row r="3849">
          <cell r="A3849">
            <v>0</v>
          </cell>
          <cell r="K3849">
            <v>0</v>
          </cell>
        </row>
        <row r="3850">
          <cell r="A3850">
            <v>0</v>
          </cell>
          <cell r="K3850">
            <v>0</v>
          </cell>
        </row>
        <row r="3851">
          <cell r="A3851">
            <v>0</v>
          </cell>
          <cell r="K3851">
            <v>0</v>
          </cell>
        </row>
        <row r="3852">
          <cell r="A3852">
            <v>0</v>
          </cell>
          <cell r="K3852">
            <v>0</v>
          </cell>
        </row>
        <row r="3853">
          <cell r="A3853">
            <v>0</v>
          </cell>
          <cell r="K3853">
            <v>0</v>
          </cell>
        </row>
        <row r="3854">
          <cell r="A3854">
            <v>0</v>
          </cell>
          <cell r="K3854">
            <v>0</v>
          </cell>
        </row>
        <row r="3855">
          <cell r="A3855">
            <v>0</v>
          </cell>
          <cell r="K3855">
            <v>0</v>
          </cell>
        </row>
        <row r="3856">
          <cell r="A3856">
            <v>0</v>
          </cell>
          <cell r="K3856">
            <v>0</v>
          </cell>
        </row>
        <row r="3857">
          <cell r="A3857">
            <v>0</v>
          </cell>
          <cell r="K3857">
            <v>0</v>
          </cell>
        </row>
        <row r="3858">
          <cell r="A3858">
            <v>0</v>
          </cell>
          <cell r="K3858">
            <v>0</v>
          </cell>
        </row>
        <row r="3859">
          <cell r="A3859">
            <v>0</v>
          </cell>
          <cell r="K3859">
            <v>0</v>
          </cell>
        </row>
        <row r="3860">
          <cell r="A3860">
            <v>0</v>
          </cell>
          <cell r="K3860">
            <v>0</v>
          </cell>
        </row>
        <row r="3861">
          <cell r="A3861">
            <v>0</v>
          </cell>
          <cell r="K3861">
            <v>0</v>
          </cell>
        </row>
        <row r="3862">
          <cell r="A3862">
            <v>0</v>
          </cell>
          <cell r="K3862">
            <v>0</v>
          </cell>
        </row>
        <row r="3863">
          <cell r="A3863">
            <v>0</v>
          </cell>
          <cell r="K3863">
            <v>0</v>
          </cell>
        </row>
        <row r="3864">
          <cell r="A3864">
            <v>0</v>
          </cell>
          <cell r="K3864">
            <v>0</v>
          </cell>
        </row>
        <row r="3865">
          <cell r="A3865">
            <v>0</v>
          </cell>
          <cell r="K3865">
            <v>0</v>
          </cell>
        </row>
        <row r="3866">
          <cell r="A3866">
            <v>0</v>
          </cell>
          <cell r="K3866">
            <v>0</v>
          </cell>
        </row>
        <row r="3867">
          <cell r="A3867">
            <v>0</v>
          </cell>
          <cell r="K3867">
            <v>0</v>
          </cell>
        </row>
        <row r="3868">
          <cell r="A3868">
            <v>0</v>
          </cell>
          <cell r="K3868">
            <v>0</v>
          </cell>
        </row>
        <row r="3869">
          <cell r="A3869">
            <v>0</v>
          </cell>
          <cell r="K3869">
            <v>0</v>
          </cell>
        </row>
        <row r="3870">
          <cell r="A3870">
            <v>0</v>
          </cell>
          <cell r="K3870">
            <v>0</v>
          </cell>
        </row>
        <row r="3871">
          <cell r="A3871">
            <v>0</v>
          </cell>
          <cell r="K3871">
            <v>0</v>
          </cell>
        </row>
        <row r="3872">
          <cell r="A3872">
            <v>0</v>
          </cell>
          <cell r="K3872">
            <v>0</v>
          </cell>
        </row>
        <row r="3873">
          <cell r="A3873">
            <v>0</v>
          </cell>
          <cell r="K3873">
            <v>0</v>
          </cell>
        </row>
        <row r="3874">
          <cell r="A3874">
            <v>0</v>
          </cell>
          <cell r="K3874">
            <v>0</v>
          </cell>
        </row>
        <row r="3875">
          <cell r="A3875">
            <v>0</v>
          </cell>
          <cell r="K3875">
            <v>0</v>
          </cell>
        </row>
        <row r="3876">
          <cell r="A3876">
            <v>0</v>
          </cell>
          <cell r="K3876">
            <v>0</v>
          </cell>
        </row>
        <row r="3877">
          <cell r="A3877">
            <v>0</v>
          </cell>
          <cell r="K3877">
            <v>0</v>
          </cell>
        </row>
        <row r="3878">
          <cell r="A3878">
            <v>0</v>
          </cell>
          <cell r="K3878">
            <v>0</v>
          </cell>
        </row>
        <row r="3879">
          <cell r="A3879">
            <v>0</v>
          </cell>
          <cell r="K3879">
            <v>0</v>
          </cell>
        </row>
        <row r="3880">
          <cell r="A3880">
            <v>0</v>
          </cell>
          <cell r="K3880">
            <v>0</v>
          </cell>
        </row>
        <row r="3881">
          <cell r="A3881">
            <v>0</v>
          </cell>
          <cell r="K3881">
            <v>0</v>
          </cell>
        </row>
        <row r="3882">
          <cell r="A3882">
            <v>0</v>
          </cell>
          <cell r="K3882">
            <v>0</v>
          </cell>
        </row>
        <row r="3883">
          <cell r="A3883">
            <v>0</v>
          </cell>
          <cell r="K3883">
            <v>0</v>
          </cell>
        </row>
        <row r="3884">
          <cell r="A3884">
            <v>0</v>
          </cell>
          <cell r="K3884">
            <v>0</v>
          </cell>
        </row>
        <row r="3885">
          <cell r="A3885">
            <v>0</v>
          </cell>
          <cell r="K3885">
            <v>0</v>
          </cell>
        </row>
        <row r="3886">
          <cell r="A3886">
            <v>0</v>
          </cell>
          <cell r="K3886">
            <v>0</v>
          </cell>
        </row>
        <row r="3887">
          <cell r="A3887">
            <v>0</v>
          </cell>
          <cell r="K3887">
            <v>0</v>
          </cell>
        </row>
        <row r="3888">
          <cell r="A3888">
            <v>0</v>
          </cell>
          <cell r="K3888">
            <v>0</v>
          </cell>
        </row>
        <row r="3889">
          <cell r="A3889">
            <v>0</v>
          </cell>
          <cell r="K3889">
            <v>0</v>
          </cell>
        </row>
        <row r="3890">
          <cell r="A3890">
            <v>0</v>
          </cell>
          <cell r="K3890">
            <v>0</v>
          </cell>
        </row>
        <row r="3891">
          <cell r="A3891">
            <v>0</v>
          </cell>
          <cell r="K3891">
            <v>0</v>
          </cell>
        </row>
        <row r="3892">
          <cell r="A3892">
            <v>0</v>
          </cell>
          <cell r="K3892">
            <v>0</v>
          </cell>
        </row>
        <row r="3893">
          <cell r="A3893">
            <v>0</v>
          </cell>
          <cell r="K3893">
            <v>0</v>
          </cell>
        </row>
        <row r="3894">
          <cell r="A3894">
            <v>0</v>
          </cell>
          <cell r="K3894">
            <v>0</v>
          </cell>
        </row>
        <row r="3895">
          <cell r="A3895">
            <v>0</v>
          </cell>
          <cell r="K3895">
            <v>0</v>
          </cell>
        </row>
        <row r="3896">
          <cell r="A3896">
            <v>0</v>
          </cell>
          <cell r="K3896">
            <v>0</v>
          </cell>
        </row>
        <row r="3897">
          <cell r="A3897">
            <v>0</v>
          </cell>
          <cell r="K3897">
            <v>0</v>
          </cell>
        </row>
        <row r="3898">
          <cell r="A3898">
            <v>0</v>
          </cell>
          <cell r="K3898">
            <v>0</v>
          </cell>
        </row>
        <row r="3899">
          <cell r="A3899">
            <v>0</v>
          </cell>
          <cell r="K3899">
            <v>0</v>
          </cell>
        </row>
        <row r="3900">
          <cell r="A3900">
            <v>0</v>
          </cell>
          <cell r="K3900">
            <v>0</v>
          </cell>
        </row>
        <row r="3901">
          <cell r="A3901">
            <v>0</v>
          </cell>
          <cell r="K3901">
            <v>0</v>
          </cell>
        </row>
        <row r="3902">
          <cell r="A3902">
            <v>0</v>
          </cell>
          <cell r="K3902">
            <v>0</v>
          </cell>
        </row>
        <row r="3903">
          <cell r="A3903">
            <v>0</v>
          </cell>
          <cell r="K3903">
            <v>0</v>
          </cell>
        </row>
        <row r="3904">
          <cell r="A3904">
            <v>0</v>
          </cell>
          <cell r="K3904">
            <v>0</v>
          </cell>
        </row>
        <row r="3905">
          <cell r="A3905">
            <v>0</v>
          </cell>
          <cell r="K3905">
            <v>0</v>
          </cell>
        </row>
        <row r="3906">
          <cell r="A3906">
            <v>0</v>
          </cell>
          <cell r="K3906">
            <v>0</v>
          </cell>
        </row>
        <row r="3907">
          <cell r="A3907">
            <v>0</v>
          </cell>
          <cell r="K3907">
            <v>0</v>
          </cell>
        </row>
        <row r="3908">
          <cell r="A3908">
            <v>0</v>
          </cell>
          <cell r="K3908">
            <v>0</v>
          </cell>
        </row>
        <row r="3909">
          <cell r="A3909">
            <v>0</v>
          </cell>
          <cell r="K3909">
            <v>0</v>
          </cell>
        </row>
        <row r="3910">
          <cell r="A3910">
            <v>0</v>
          </cell>
          <cell r="K3910">
            <v>0</v>
          </cell>
        </row>
        <row r="3911">
          <cell r="A3911">
            <v>0</v>
          </cell>
          <cell r="K3911">
            <v>0</v>
          </cell>
        </row>
        <row r="3912">
          <cell r="A3912">
            <v>0</v>
          </cell>
          <cell r="K3912">
            <v>0</v>
          </cell>
        </row>
        <row r="3913">
          <cell r="A3913">
            <v>0</v>
          </cell>
          <cell r="K3913">
            <v>0</v>
          </cell>
        </row>
        <row r="3914">
          <cell r="A3914">
            <v>0</v>
          </cell>
          <cell r="K3914">
            <v>0</v>
          </cell>
        </row>
        <row r="3915">
          <cell r="A3915">
            <v>0</v>
          </cell>
          <cell r="K3915">
            <v>0</v>
          </cell>
        </row>
        <row r="3916">
          <cell r="A3916">
            <v>0</v>
          </cell>
          <cell r="K3916">
            <v>0</v>
          </cell>
        </row>
        <row r="3917">
          <cell r="A3917">
            <v>0</v>
          </cell>
          <cell r="K3917">
            <v>0</v>
          </cell>
        </row>
        <row r="3918">
          <cell r="A3918">
            <v>0</v>
          </cell>
          <cell r="K3918">
            <v>0</v>
          </cell>
        </row>
        <row r="3919">
          <cell r="A3919">
            <v>0</v>
          </cell>
          <cell r="K3919">
            <v>0</v>
          </cell>
        </row>
        <row r="3920">
          <cell r="A3920">
            <v>0</v>
          </cell>
          <cell r="K3920">
            <v>0</v>
          </cell>
        </row>
        <row r="3921">
          <cell r="A3921">
            <v>0</v>
          </cell>
          <cell r="K3921">
            <v>0</v>
          </cell>
        </row>
        <row r="3922">
          <cell r="A3922">
            <v>0</v>
          </cell>
          <cell r="K3922">
            <v>0</v>
          </cell>
        </row>
        <row r="3923">
          <cell r="A3923">
            <v>0</v>
          </cell>
          <cell r="K3923">
            <v>0</v>
          </cell>
        </row>
        <row r="3924">
          <cell r="A3924">
            <v>0</v>
          </cell>
          <cell r="K3924">
            <v>0</v>
          </cell>
        </row>
        <row r="3925">
          <cell r="A3925">
            <v>0</v>
          </cell>
          <cell r="K3925">
            <v>0</v>
          </cell>
        </row>
        <row r="3926">
          <cell r="A3926">
            <v>0</v>
          </cell>
          <cell r="K3926">
            <v>0</v>
          </cell>
        </row>
        <row r="3927">
          <cell r="A3927">
            <v>0</v>
          </cell>
          <cell r="K3927">
            <v>0</v>
          </cell>
        </row>
        <row r="3928">
          <cell r="A3928">
            <v>0</v>
          </cell>
          <cell r="K3928">
            <v>0</v>
          </cell>
        </row>
        <row r="3929">
          <cell r="A3929">
            <v>0</v>
          </cell>
          <cell r="K3929">
            <v>0</v>
          </cell>
        </row>
        <row r="3930">
          <cell r="A3930">
            <v>0</v>
          </cell>
          <cell r="K3930">
            <v>0</v>
          </cell>
        </row>
        <row r="3931">
          <cell r="A3931">
            <v>0</v>
          </cell>
          <cell r="K3931">
            <v>0</v>
          </cell>
        </row>
        <row r="3932">
          <cell r="A3932">
            <v>0</v>
          </cell>
          <cell r="K3932">
            <v>0</v>
          </cell>
        </row>
        <row r="3933">
          <cell r="A3933">
            <v>0</v>
          </cell>
          <cell r="K3933">
            <v>0</v>
          </cell>
        </row>
        <row r="3934">
          <cell r="A3934">
            <v>0</v>
          </cell>
          <cell r="K3934">
            <v>0</v>
          </cell>
        </row>
        <row r="3935">
          <cell r="A3935">
            <v>0</v>
          </cell>
          <cell r="K3935">
            <v>0</v>
          </cell>
        </row>
        <row r="3936">
          <cell r="A3936">
            <v>0</v>
          </cell>
          <cell r="K3936">
            <v>0</v>
          </cell>
        </row>
        <row r="3937">
          <cell r="A3937">
            <v>0</v>
          </cell>
          <cell r="K3937">
            <v>0</v>
          </cell>
        </row>
        <row r="3938">
          <cell r="A3938">
            <v>0</v>
          </cell>
          <cell r="K3938">
            <v>0</v>
          </cell>
        </row>
        <row r="3939">
          <cell r="A3939">
            <v>0</v>
          </cell>
          <cell r="K3939">
            <v>0</v>
          </cell>
        </row>
        <row r="3940">
          <cell r="A3940">
            <v>0</v>
          </cell>
          <cell r="K3940">
            <v>0</v>
          </cell>
        </row>
        <row r="3941">
          <cell r="A3941">
            <v>0</v>
          </cell>
          <cell r="K3941">
            <v>0</v>
          </cell>
        </row>
        <row r="3942">
          <cell r="A3942">
            <v>0</v>
          </cell>
          <cell r="K3942">
            <v>0</v>
          </cell>
        </row>
        <row r="3943">
          <cell r="A3943">
            <v>0</v>
          </cell>
          <cell r="K3943">
            <v>0</v>
          </cell>
        </row>
        <row r="3944">
          <cell r="A3944">
            <v>0</v>
          </cell>
          <cell r="K3944">
            <v>0</v>
          </cell>
        </row>
        <row r="3945">
          <cell r="A3945">
            <v>0</v>
          </cell>
          <cell r="K3945">
            <v>0</v>
          </cell>
        </row>
        <row r="3946">
          <cell r="A3946">
            <v>0</v>
          </cell>
          <cell r="K3946">
            <v>0</v>
          </cell>
        </row>
        <row r="3947">
          <cell r="A3947">
            <v>0</v>
          </cell>
          <cell r="K3947">
            <v>0</v>
          </cell>
        </row>
        <row r="3948">
          <cell r="A3948">
            <v>0</v>
          </cell>
          <cell r="K3948">
            <v>0</v>
          </cell>
        </row>
        <row r="3949">
          <cell r="A3949">
            <v>0</v>
          </cell>
          <cell r="K3949">
            <v>0</v>
          </cell>
        </row>
        <row r="3950">
          <cell r="A3950">
            <v>0</v>
          </cell>
          <cell r="K3950">
            <v>0</v>
          </cell>
        </row>
        <row r="3951">
          <cell r="A3951">
            <v>0</v>
          </cell>
          <cell r="K3951">
            <v>0</v>
          </cell>
        </row>
        <row r="3952">
          <cell r="A3952">
            <v>0</v>
          </cell>
          <cell r="K3952">
            <v>0</v>
          </cell>
        </row>
        <row r="3953">
          <cell r="A3953">
            <v>0</v>
          </cell>
          <cell r="K3953">
            <v>0</v>
          </cell>
        </row>
        <row r="3954">
          <cell r="A3954">
            <v>0</v>
          </cell>
          <cell r="K3954">
            <v>0</v>
          </cell>
        </row>
        <row r="3955">
          <cell r="A3955">
            <v>0</v>
          </cell>
          <cell r="K3955">
            <v>0</v>
          </cell>
        </row>
        <row r="3956">
          <cell r="A3956">
            <v>0</v>
          </cell>
          <cell r="K3956">
            <v>0</v>
          </cell>
        </row>
        <row r="3957">
          <cell r="A3957">
            <v>0</v>
          </cell>
          <cell r="K3957">
            <v>0</v>
          </cell>
        </row>
        <row r="3958">
          <cell r="A3958">
            <v>0</v>
          </cell>
          <cell r="K3958">
            <v>0</v>
          </cell>
        </row>
        <row r="3959">
          <cell r="A3959">
            <v>0</v>
          </cell>
          <cell r="K3959">
            <v>0</v>
          </cell>
        </row>
        <row r="3960">
          <cell r="A3960">
            <v>0</v>
          </cell>
          <cell r="K3960">
            <v>0</v>
          </cell>
        </row>
        <row r="3961">
          <cell r="A3961">
            <v>0</v>
          </cell>
          <cell r="K3961">
            <v>0</v>
          </cell>
        </row>
        <row r="3962">
          <cell r="A3962">
            <v>0</v>
          </cell>
          <cell r="K3962">
            <v>0</v>
          </cell>
        </row>
        <row r="3963">
          <cell r="A3963">
            <v>0</v>
          </cell>
          <cell r="K3963">
            <v>0</v>
          </cell>
        </row>
        <row r="3964">
          <cell r="A3964">
            <v>0</v>
          </cell>
          <cell r="K3964">
            <v>0</v>
          </cell>
        </row>
        <row r="3965">
          <cell r="A3965">
            <v>0</v>
          </cell>
          <cell r="K3965">
            <v>0</v>
          </cell>
        </row>
        <row r="3966">
          <cell r="A3966">
            <v>0</v>
          </cell>
          <cell r="K3966">
            <v>0</v>
          </cell>
        </row>
        <row r="3967">
          <cell r="A3967">
            <v>0</v>
          </cell>
          <cell r="K3967">
            <v>0</v>
          </cell>
        </row>
        <row r="3968">
          <cell r="A3968">
            <v>0</v>
          </cell>
          <cell r="K3968">
            <v>0</v>
          </cell>
        </row>
        <row r="3969">
          <cell r="A3969">
            <v>0</v>
          </cell>
          <cell r="K3969">
            <v>0</v>
          </cell>
        </row>
        <row r="3970">
          <cell r="A3970">
            <v>0</v>
          </cell>
          <cell r="K3970">
            <v>0</v>
          </cell>
        </row>
        <row r="3971">
          <cell r="A3971">
            <v>0</v>
          </cell>
          <cell r="K3971">
            <v>0</v>
          </cell>
        </row>
        <row r="3972">
          <cell r="A3972">
            <v>0</v>
          </cell>
          <cell r="K3972">
            <v>0</v>
          </cell>
        </row>
        <row r="3973">
          <cell r="A3973">
            <v>0</v>
          </cell>
          <cell r="K3973">
            <v>0</v>
          </cell>
        </row>
        <row r="3974">
          <cell r="A3974">
            <v>0</v>
          </cell>
          <cell r="K3974">
            <v>0</v>
          </cell>
        </row>
        <row r="3975">
          <cell r="A3975">
            <v>0</v>
          </cell>
          <cell r="K3975">
            <v>0</v>
          </cell>
        </row>
        <row r="3976">
          <cell r="A3976">
            <v>0</v>
          </cell>
          <cell r="K3976">
            <v>0</v>
          </cell>
        </row>
        <row r="3977">
          <cell r="A3977">
            <v>0</v>
          </cell>
          <cell r="K3977">
            <v>0</v>
          </cell>
        </row>
        <row r="3978">
          <cell r="A3978">
            <v>0</v>
          </cell>
          <cell r="K3978">
            <v>0</v>
          </cell>
        </row>
        <row r="3979">
          <cell r="A3979">
            <v>0</v>
          </cell>
          <cell r="K3979">
            <v>0</v>
          </cell>
        </row>
        <row r="3980">
          <cell r="A3980">
            <v>0</v>
          </cell>
          <cell r="K3980">
            <v>0</v>
          </cell>
        </row>
        <row r="3981">
          <cell r="A3981">
            <v>0</v>
          </cell>
          <cell r="K3981">
            <v>0</v>
          </cell>
        </row>
        <row r="3982">
          <cell r="A3982">
            <v>0</v>
          </cell>
          <cell r="K3982">
            <v>0</v>
          </cell>
        </row>
        <row r="3983">
          <cell r="A3983">
            <v>0</v>
          </cell>
          <cell r="K3983">
            <v>0</v>
          </cell>
        </row>
        <row r="3984">
          <cell r="A3984">
            <v>0</v>
          </cell>
          <cell r="K3984">
            <v>0</v>
          </cell>
        </row>
        <row r="3985">
          <cell r="A3985">
            <v>0</v>
          </cell>
          <cell r="K3985">
            <v>0</v>
          </cell>
        </row>
        <row r="3986">
          <cell r="A3986">
            <v>0</v>
          </cell>
          <cell r="K3986">
            <v>0</v>
          </cell>
        </row>
        <row r="3987">
          <cell r="A3987">
            <v>0</v>
          </cell>
          <cell r="K3987">
            <v>0</v>
          </cell>
        </row>
        <row r="3988">
          <cell r="A3988">
            <v>0</v>
          </cell>
          <cell r="K3988">
            <v>0</v>
          </cell>
        </row>
        <row r="3989">
          <cell r="A3989">
            <v>0</v>
          </cell>
          <cell r="K3989">
            <v>0</v>
          </cell>
        </row>
        <row r="3990">
          <cell r="A3990">
            <v>0</v>
          </cell>
          <cell r="K3990">
            <v>0</v>
          </cell>
        </row>
        <row r="3991">
          <cell r="A3991">
            <v>0</v>
          </cell>
          <cell r="K3991">
            <v>0</v>
          </cell>
        </row>
        <row r="3992">
          <cell r="A3992">
            <v>0</v>
          </cell>
          <cell r="K3992">
            <v>0</v>
          </cell>
        </row>
        <row r="3993">
          <cell r="A3993">
            <v>0</v>
          </cell>
          <cell r="K3993">
            <v>0</v>
          </cell>
        </row>
        <row r="3994">
          <cell r="A3994">
            <v>0</v>
          </cell>
          <cell r="K3994">
            <v>0</v>
          </cell>
        </row>
        <row r="3995">
          <cell r="A3995">
            <v>0</v>
          </cell>
          <cell r="K3995">
            <v>0</v>
          </cell>
        </row>
        <row r="3996">
          <cell r="A3996">
            <v>0</v>
          </cell>
          <cell r="K3996">
            <v>0</v>
          </cell>
        </row>
        <row r="3997">
          <cell r="A3997">
            <v>0</v>
          </cell>
          <cell r="K3997">
            <v>0</v>
          </cell>
        </row>
        <row r="3998">
          <cell r="A3998">
            <v>0</v>
          </cell>
          <cell r="K3998">
            <v>0</v>
          </cell>
        </row>
        <row r="3999">
          <cell r="A3999">
            <v>0</v>
          </cell>
          <cell r="K3999">
            <v>0</v>
          </cell>
        </row>
        <row r="4000">
          <cell r="A4000">
            <v>0</v>
          </cell>
          <cell r="K4000">
            <v>0</v>
          </cell>
        </row>
        <row r="4001">
          <cell r="A4001">
            <v>0</v>
          </cell>
          <cell r="K4001">
            <v>0</v>
          </cell>
        </row>
        <row r="4002">
          <cell r="A4002">
            <v>0</v>
          </cell>
          <cell r="K4002">
            <v>0</v>
          </cell>
        </row>
        <row r="4003">
          <cell r="A4003">
            <v>0</v>
          </cell>
          <cell r="K4003">
            <v>0</v>
          </cell>
        </row>
        <row r="4004">
          <cell r="A4004">
            <v>0</v>
          </cell>
          <cell r="K4004">
            <v>0</v>
          </cell>
        </row>
        <row r="4005">
          <cell r="A4005">
            <v>0</v>
          </cell>
          <cell r="K4005">
            <v>0</v>
          </cell>
        </row>
        <row r="4006">
          <cell r="A4006">
            <v>0</v>
          </cell>
          <cell r="K4006">
            <v>0</v>
          </cell>
        </row>
        <row r="4007">
          <cell r="A4007">
            <v>0</v>
          </cell>
          <cell r="K4007">
            <v>0</v>
          </cell>
        </row>
        <row r="4008">
          <cell r="A4008">
            <v>0</v>
          </cell>
          <cell r="K4008">
            <v>0</v>
          </cell>
        </row>
        <row r="4009">
          <cell r="A4009">
            <v>0</v>
          </cell>
          <cell r="K4009">
            <v>0</v>
          </cell>
        </row>
        <row r="4010">
          <cell r="A4010">
            <v>0</v>
          </cell>
          <cell r="K4010">
            <v>0</v>
          </cell>
        </row>
        <row r="4011">
          <cell r="A4011">
            <v>0</v>
          </cell>
          <cell r="K4011">
            <v>0</v>
          </cell>
        </row>
        <row r="4012">
          <cell r="A4012">
            <v>0</v>
          </cell>
          <cell r="K4012">
            <v>0</v>
          </cell>
        </row>
        <row r="4013">
          <cell r="A4013">
            <v>0</v>
          </cell>
          <cell r="K4013">
            <v>0</v>
          </cell>
        </row>
        <row r="4014">
          <cell r="A4014">
            <v>0</v>
          </cell>
          <cell r="K4014">
            <v>0</v>
          </cell>
        </row>
        <row r="4015">
          <cell r="A4015">
            <v>0</v>
          </cell>
          <cell r="K4015">
            <v>0</v>
          </cell>
        </row>
        <row r="4016">
          <cell r="A4016">
            <v>0</v>
          </cell>
          <cell r="K4016">
            <v>0</v>
          </cell>
        </row>
        <row r="4017">
          <cell r="A4017">
            <v>0</v>
          </cell>
          <cell r="K4017">
            <v>0</v>
          </cell>
        </row>
        <row r="4018">
          <cell r="A4018">
            <v>0</v>
          </cell>
          <cell r="K4018">
            <v>0</v>
          </cell>
        </row>
        <row r="4019">
          <cell r="A4019">
            <v>0</v>
          </cell>
          <cell r="K4019">
            <v>0</v>
          </cell>
        </row>
        <row r="4020">
          <cell r="A4020">
            <v>0</v>
          </cell>
          <cell r="K4020">
            <v>0</v>
          </cell>
        </row>
        <row r="4021">
          <cell r="A4021">
            <v>0</v>
          </cell>
          <cell r="K4021">
            <v>0</v>
          </cell>
        </row>
        <row r="4022">
          <cell r="A4022">
            <v>0</v>
          </cell>
          <cell r="K4022">
            <v>0</v>
          </cell>
        </row>
        <row r="4023">
          <cell r="A4023">
            <v>0</v>
          </cell>
          <cell r="K4023">
            <v>0</v>
          </cell>
        </row>
        <row r="4024">
          <cell r="A4024">
            <v>0</v>
          </cell>
          <cell r="K4024">
            <v>0</v>
          </cell>
        </row>
        <row r="4025">
          <cell r="A4025">
            <v>0</v>
          </cell>
          <cell r="K4025">
            <v>0</v>
          </cell>
        </row>
        <row r="4026">
          <cell r="A4026">
            <v>0</v>
          </cell>
          <cell r="K4026">
            <v>0</v>
          </cell>
        </row>
        <row r="4027">
          <cell r="A4027">
            <v>0</v>
          </cell>
          <cell r="K4027">
            <v>0</v>
          </cell>
        </row>
        <row r="4028">
          <cell r="A4028">
            <v>0</v>
          </cell>
          <cell r="K4028">
            <v>0</v>
          </cell>
        </row>
        <row r="4029">
          <cell r="A4029">
            <v>0</v>
          </cell>
          <cell r="K4029">
            <v>0</v>
          </cell>
        </row>
        <row r="4030">
          <cell r="A4030">
            <v>0</v>
          </cell>
          <cell r="K4030">
            <v>0</v>
          </cell>
        </row>
        <row r="4031">
          <cell r="A4031">
            <v>0</v>
          </cell>
          <cell r="K4031">
            <v>0</v>
          </cell>
        </row>
        <row r="4032">
          <cell r="A4032">
            <v>0</v>
          </cell>
          <cell r="K4032">
            <v>0</v>
          </cell>
        </row>
        <row r="4033">
          <cell r="A4033">
            <v>0</v>
          </cell>
          <cell r="K4033">
            <v>0</v>
          </cell>
        </row>
        <row r="4034">
          <cell r="A4034">
            <v>0</v>
          </cell>
          <cell r="K4034">
            <v>0</v>
          </cell>
        </row>
        <row r="4035">
          <cell r="A4035">
            <v>0</v>
          </cell>
          <cell r="K4035">
            <v>0</v>
          </cell>
        </row>
        <row r="4036">
          <cell r="A4036">
            <v>0</v>
          </cell>
          <cell r="K4036">
            <v>0</v>
          </cell>
        </row>
        <row r="4037">
          <cell r="A4037">
            <v>0</v>
          </cell>
          <cell r="K4037">
            <v>0</v>
          </cell>
        </row>
        <row r="4038">
          <cell r="A4038">
            <v>0</v>
          </cell>
          <cell r="K4038">
            <v>0</v>
          </cell>
        </row>
        <row r="4039">
          <cell r="A4039">
            <v>0</v>
          </cell>
          <cell r="K4039">
            <v>0</v>
          </cell>
        </row>
        <row r="4040">
          <cell r="A4040">
            <v>0</v>
          </cell>
          <cell r="K4040">
            <v>0</v>
          </cell>
        </row>
        <row r="4041">
          <cell r="A4041">
            <v>0</v>
          </cell>
          <cell r="K4041">
            <v>0</v>
          </cell>
        </row>
        <row r="4042">
          <cell r="A4042">
            <v>0</v>
          </cell>
          <cell r="K4042">
            <v>0</v>
          </cell>
        </row>
        <row r="4043">
          <cell r="A4043">
            <v>0</v>
          </cell>
          <cell r="K4043">
            <v>0</v>
          </cell>
        </row>
        <row r="4044">
          <cell r="A4044">
            <v>0</v>
          </cell>
          <cell r="K4044">
            <v>0</v>
          </cell>
        </row>
        <row r="4045">
          <cell r="A4045">
            <v>0</v>
          </cell>
          <cell r="K4045">
            <v>0</v>
          </cell>
        </row>
        <row r="4046">
          <cell r="A4046">
            <v>0</v>
          </cell>
          <cell r="K4046">
            <v>0</v>
          </cell>
        </row>
        <row r="4047">
          <cell r="A4047">
            <v>0</v>
          </cell>
          <cell r="K4047">
            <v>0</v>
          </cell>
        </row>
        <row r="4048">
          <cell r="A4048">
            <v>0</v>
          </cell>
          <cell r="K4048">
            <v>0</v>
          </cell>
        </row>
        <row r="4049">
          <cell r="A4049">
            <v>0</v>
          </cell>
          <cell r="K4049">
            <v>0</v>
          </cell>
        </row>
        <row r="4050">
          <cell r="A4050">
            <v>0</v>
          </cell>
          <cell r="K4050">
            <v>0</v>
          </cell>
        </row>
        <row r="4051">
          <cell r="A4051">
            <v>0</v>
          </cell>
          <cell r="K4051">
            <v>0</v>
          </cell>
        </row>
        <row r="4052">
          <cell r="A4052">
            <v>0</v>
          </cell>
          <cell r="K4052">
            <v>0</v>
          </cell>
        </row>
        <row r="4053">
          <cell r="A4053">
            <v>0</v>
          </cell>
          <cell r="K4053">
            <v>0</v>
          </cell>
        </row>
        <row r="4054">
          <cell r="A4054">
            <v>0</v>
          </cell>
          <cell r="K4054">
            <v>0</v>
          </cell>
        </row>
        <row r="4055">
          <cell r="A4055">
            <v>0</v>
          </cell>
          <cell r="K4055">
            <v>0</v>
          </cell>
        </row>
        <row r="4056">
          <cell r="A4056">
            <v>0</v>
          </cell>
          <cell r="K4056">
            <v>0</v>
          </cell>
        </row>
        <row r="4057">
          <cell r="A4057">
            <v>0</v>
          </cell>
          <cell r="K4057">
            <v>0</v>
          </cell>
        </row>
        <row r="4058">
          <cell r="A4058">
            <v>0</v>
          </cell>
          <cell r="K4058">
            <v>0</v>
          </cell>
        </row>
        <row r="4059">
          <cell r="A4059">
            <v>0</v>
          </cell>
          <cell r="K4059">
            <v>0</v>
          </cell>
        </row>
        <row r="4060">
          <cell r="A4060">
            <v>0</v>
          </cell>
          <cell r="K4060">
            <v>0</v>
          </cell>
        </row>
        <row r="4061">
          <cell r="A4061">
            <v>0</v>
          </cell>
          <cell r="K4061">
            <v>0</v>
          </cell>
        </row>
        <row r="4062">
          <cell r="A4062">
            <v>0</v>
          </cell>
          <cell r="K4062">
            <v>0</v>
          </cell>
        </row>
        <row r="4063">
          <cell r="A4063">
            <v>0</v>
          </cell>
          <cell r="K4063">
            <v>0</v>
          </cell>
        </row>
        <row r="4064">
          <cell r="A4064">
            <v>0</v>
          </cell>
          <cell r="K4064">
            <v>0</v>
          </cell>
        </row>
        <row r="4065">
          <cell r="A4065">
            <v>0</v>
          </cell>
          <cell r="K4065">
            <v>0</v>
          </cell>
        </row>
        <row r="4066">
          <cell r="A4066">
            <v>0</v>
          </cell>
          <cell r="K4066">
            <v>0</v>
          </cell>
        </row>
        <row r="4067">
          <cell r="A4067">
            <v>0</v>
          </cell>
          <cell r="K4067">
            <v>0</v>
          </cell>
        </row>
        <row r="4068">
          <cell r="A4068">
            <v>0</v>
          </cell>
          <cell r="K4068">
            <v>0</v>
          </cell>
        </row>
        <row r="4069">
          <cell r="A4069">
            <v>0</v>
          </cell>
          <cell r="K4069">
            <v>0</v>
          </cell>
        </row>
        <row r="4070">
          <cell r="A4070">
            <v>0</v>
          </cell>
          <cell r="K4070">
            <v>0</v>
          </cell>
        </row>
        <row r="4071">
          <cell r="A4071">
            <v>0</v>
          </cell>
          <cell r="K4071">
            <v>0</v>
          </cell>
        </row>
        <row r="4072">
          <cell r="A4072">
            <v>0</v>
          </cell>
          <cell r="K4072">
            <v>0</v>
          </cell>
        </row>
        <row r="4073">
          <cell r="A4073">
            <v>0</v>
          </cell>
          <cell r="K4073">
            <v>0</v>
          </cell>
        </row>
        <row r="4074">
          <cell r="A4074">
            <v>0</v>
          </cell>
          <cell r="K4074">
            <v>0</v>
          </cell>
        </row>
        <row r="4075">
          <cell r="A4075">
            <v>0</v>
          </cell>
          <cell r="K4075">
            <v>0</v>
          </cell>
        </row>
        <row r="4076">
          <cell r="A4076">
            <v>0</v>
          </cell>
          <cell r="K4076">
            <v>0</v>
          </cell>
        </row>
        <row r="4077">
          <cell r="A4077">
            <v>0</v>
          </cell>
          <cell r="K4077">
            <v>0</v>
          </cell>
        </row>
        <row r="4078">
          <cell r="A4078">
            <v>0</v>
          </cell>
          <cell r="K4078">
            <v>0</v>
          </cell>
        </row>
        <row r="4079">
          <cell r="A4079">
            <v>0</v>
          </cell>
          <cell r="K4079">
            <v>0</v>
          </cell>
        </row>
        <row r="4080">
          <cell r="A4080">
            <v>0</v>
          </cell>
          <cell r="K4080">
            <v>0</v>
          </cell>
        </row>
        <row r="4081">
          <cell r="A4081">
            <v>0</v>
          </cell>
          <cell r="K4081">
            <v>0</v>
          </cell>
        </row>
        <row r="4082">
          <cell r="A4082">
            <v>0</v>
          </cell>
          <cell r="K4082">
            <v>0</v>
          </cell>
        </row>
        <row r="4083">
          <cell r="A4083">
            <v>0</v>
          </cell>
          <cell r="K4083">
            <v>0</v>
          </cell>
        </row>
        <row r="4084">
          <cell r="A4084">
            <v>0</v>
          </cell>
          <cell r="K4084">
            <v>0</v>
          </cell>
        </row>
        <row r="4085">
          <cell r="A4085">
            <v>0</v>
          </cell>
          <cell r="K4085">
            <v>0</v>
          </cell>
        </row>
        <row r="4086">
          <cell r="A4086">
            <v>0</v>
          </cell>
          <cell r="K4086">
            <v>0</v>
          </cell>
        </row>
        <row r="4087">
          <cell r="A4087">
            <v>0</v>
          </cell>
          <cell r="K4087">
            <v>0</v>
          </cell>
        </row>
        <row r="4088">
          <cell r="A4088">
            <v>0</v>
          </cell>
          <cell r="K4088">
            <v>0</v>
          </cell>
        </row>
        <row r="4089">
          <cell r="A4089">
            <v>0</v>
          </cell>
          <cell r="K4089">
            <v>0</v>
          </cell>
        </row>
        <row r="4090">
          <cell r="A4090">
            <v>0</v>
          </cell>
          <cell r="K4090">
            <v>0</v>
          </cell>
        </row>
        <row r="4091">
          <cell r="A4091">
            <v>0</v>
          </cell>
          <cell r="K4091">
            <v>0</v>
          </cell>
        </row>
        <row r="4092">
          <cell r="A4092">
            <v>0</v>
          </cell>
          <cell r="K4092">
            <v>0</v>
          </cell>
        </row>
        <row r="4093">
          <cell r="A4093">
            <v>0</v>
          </cell>
          <cell r="K4093">
            <v>0</v>
          </cell>
        </row>
        <row r="4094">
          <cell r="A4094">
            <v>0</v>
          </cell>
          <cell r="K4094">
            <v>0</v>
          </cell>
        </row>
        <row r="4095">
          <cell r="A4095">
            <v>0</v>
          </cell>
          <cell r="K4095">
            <v>0</v>
          </cell>
        </row>
        <row r="4096">
          <cell r="A4096">
            <v>0</v>
          </cell>
          <cell r="K4096">
            <v>0</v>
          </cell>
        </row>
        <row r="4097">
          <cell r="A4097">
            <v>0</v>
          </cell>
          <cell r="K4097">
            <v>0</v>
          </cell>
        </row>
        <row r="4098">
          <cell r="A4098">
            <v>0</v>
          </cell>
          <cell r="K4098">
            <v>0</v>
          </cell>
        </row>
        <row r="4099">
          <cell r="A4099">
            <v>0</v>
          </cell>
          <cell r="K4099">
            <v>0</v>
          </cell>
        </row>
        <row r="4100">
          <cell r="A4100">
            <v>0</v>
          </cell>
          <cell r="K4100">
            <v>0</v>
          </cell>
        </row>
        <row r="4101">
          <cell r="A4101">
            <v>0</v>
          </cell>
          <cell r="K4101">
            <v>0</v>
          </cell>
        </row>
        <row r="4102">
          <cell r="A4102">
            <v>0</v>
          </cell>
          <cell r="K4102">
            <v>0</v>
          </cell>
        </row>
        <row r="4103">
          <cell r="A4103">
            <v>0</v>
          </cell>
          <cell r="K4103">
            <v>0</v>
          </cell>
        </row>
        <row r="4104">
          <cell r="A4104">
            <v>0</v>
          </cell>
          <cell r="K4104">
            <v>0</v>
          </cell>
        </row>
        <row r="4105">
          <cell r="A4105">
            <v>0</v>
          </cell>
          <cell r="K4105">
            <v>0</v>
          </cell>
        </row>
        <row r="4106">
          <cell r="A4106">
            <v>0</v>
          </cell>
          <cell r="K4106">
            <v>0</v>
          </cell>
        </row>
        <row r="4107">
          <cell r="A4107">
            <v>0</v>
          </cell>
          <cell r="K4107">
            <v>0</v>
          </cell>
        </row>
        <row r="4108">
          <cell r="A4108">
            <v>0</v>
          </cell>
          <cell r="K4108">
            <v>0</v>
          </cell>
        </row>
        <row r="4109">
          <cell r="A4109">
            <v>0</v>
          </cell>
          <cell r="K4109">
            <v>0</v>
          </cell>
        </row>
        <row r="4110">
          <cell r="A4110">
            <v>0</v>
          </cell>
          <cell r="K4110">
            <v>0</v>
          </cell>
        </row>
        <row r="4111">
          <cell r="A4111">
            <v>0</v>
          </cell>
          <cell r="K4111">
            <v>0</v>
          </cell>
        </row>
        <row r="4112">
          <cell r="A4112">
            <v>0</v>
          </cell>
          <cell r="K4112">
            <v>0</v>
          </cell>
        </row>
        <row r="4113">
          <cell r="A4113">
            <v>0</v>
          </cell>
          <cell r="K4113">
            <v>0</v>
          </cell>
        </row>
        <row r="4114">
          <cell r="A4114">
            <v>0</v>
          </cell>
          <cell r="K4114">
            <v>0</v>
          </cell>
        </row>
        <row r="4115">
          <cell r="A4115">
            <v>0</v>
          </cell>
          <cell r="K4115">
            <v>0</v>
          </cell>
        </row>
        <row r="4116">
          <cell r="A4116">
            <v>0</v>
          </cell>
          <cell r="K4116">
            <v>0</v>
          </cell>
        </row>
        <row r="4117">
          <cell r="A4117">
            <v>0</v>
          </cell>
          <cell r="K4117">
            <v>0</v>
          </cell>
        </row>
        <row r="4118">
          <cell r="A4118">
            <v>0</v>
          </cell>
          <cell r="K4118">
            <v>0</v>
          </cell>
        </row>
        <row r="4119">
          <cell r="A4119">
            <v>0</v>
          </cell>
          <cell r="K4119">
            <v>0</v>
          </cell>
        </row>
        <row r="4120">
          <cell r="A4120">
            <v>0</v>
          </cell>
          <cell r="K4120">
            <v>0</v>
          </cell>
        </row>
        <row r="4121">
          <cell r="A4121">
            <v>0</v>
          </cell>
          <cell r="K4121">
            <v>0</v>
          </cell>
        </row>
        <row r="4122">
          <cell r="A4122">
            <v>0</v>
          </cell>
          <cell r="K4122">
            <v>0</v>
          </cell>
        </row>
        <row r="4123">
          <cell r="A4123">
            <v>0</v>
          </cell>
          <cell r="K4123">
            <v>0</v>
          </cell>
        </row>
        <row r="4124">
          <cell r="A4124">
            <v>0</v>
          </cell>
          <cell r="K4124">
            <v>0</v>
          </cell>
        </row>
        <row r="4125">
          <cell r="A4125">
            <v>0</v>
          </cell>
          <cell r="K4125">
            <v>0</v>
          </cell>
        </row>
        <row r="4126">
          <cell r="A4126">
            <v>0</v>
          </cell>
          <cell r="K4126">
            <v>0</v>
          </cell>
        </row>
        <row r="4127">
          <cell r="A4127">
            <v>0</v>
          </cell>
          <cell r="K4127">
            <v>0</v>
          </cell>
        </row>
        <row r="4128">
          <cell r="A4128">
            <v>0</v>
          </cell>
          <cell r="K4128">
            <v>0</v>
          </cell>
        </row>
        <row r="4129">
          <cell r="A4129">
            <v>0</v>
          </cell>
          <cell r="K4129">
            <v>0</v>
          </cell>
        </row>
        <row r="4130">
          <cell r="A4130">
            <v>0</v>
          </cell>
          <cell r="K4130">
            <v>0</v>
          </cell>
        </row>
        <row r="4131">
          <cell r="A4131">
            <v>0</v>
          </cell>
          <cell r="K4131">
            <v>0</v>
          </cell>
        </row>
        <row r="4132">
          <cell r="A4132">
            <v>0</v>
          </cell>
          <cell r="K4132">
            <v>0</v>
          </cell>
        </row>
        <row r="4133">
          <cell r="A4133">
            <v>0</v>
          </cell>
          <cell r="K4133">
            <v>0</v>
          </cell>
        </row>
        <row r="4134">
          <cell r="A4134">
            <v>0</v>
          </cell>
          <cell r="K4134">
            <v>0</v>
          </cell>
        </row>
        <row r="4135">
          <cell r="A4135">
            <v>0</v>
          </cell>
          <cell r="K4135">
            <v>0</v>
          </cell>
        </row>
        <row r="4136">
          <cell r="A4136">
            <v>0</v>
          </cell>
          <cell r="K4136">
            <v>0</v>
          </cell>
        </row>
        <row r="4137">
          <cell r="A4137">
            <v>0</v>
          </cell>
          <cell r="K4137">
            <v>0</v>
          </cell>
        </row>
        <row r="4138">
          <cell r="A4138">
            <v>0</v>
          </cell>
          <cell r="K4138">
            <v>0</v>
          </cell>
        </row>
        <row r="4139">
          <cell r="A4139">
            <v>0</v>
          </cell>
          <cell r="K4139">
            <v>0</v>
          </cell>
        </row>
        <row r="4140">
          <cell r="A4140">
            <v>0</v>
          </cell>
          <cell r="K4140">
            <v>0</v>
          </cell>
        </row>
        <row r="4141">
          <cell r="A4141">
            <v>0</v>
          </cell>
          <cell r="K4141">
            <v>0</v>
          </cell>
        </row>
        <row r="4142">
          <cell r="A4142">
            <v>0</v>
          </cell>
          <cell r="K4142">
            <v>0</v>
          </cell>
        </row>
        <row r="4143">
          <cell r="A4143">
            <v>0</v>
          </cell>
          <cell r="K4143">
            <v>0</v>
          </cell>
        </row>
        <row r="4144">
          <cell r="A4144">
            <v>0</v>
          </cell>
          <cell r="K4144">
            <v>0</v>
          </cell>
        </row>
        <row r="4145">
          <cell r="A4145">
            <v>0</v>
          </cell>
          <cell r="K4145">
            <v>0</v>
          </cell>
        </row>
        <row r="4146">
          <cell r="A4146">
            <v>0</v>
          </cell>
          <cell r="K4146">
            <v>0</v>
          </cell>
        </row>
        <row r="4147">
          <cell r="A4147">
            <v>0</v>
          </cell>
          <cell r="K4147">
            <v>0</v>
          </cell>
        </row>
        <row r="4148">
          <cell r="A4148">
            <v>0</v>
          </cell>
          <cell r="K4148">
            <v>0</v>
          </cell>
        </row>
        <row r="4149">
          <cell r="A4149">
            <v>0</v>
          </cell>
          <cell r="K4149">
            <v>0</v>
          </cell>
        </row>
        <row r="4150">
          <cell r="A4150">
            <v>0</v>
          </cell>
          <cell r="K4150">
            <v>0</v>
          </cell>
        </row>
        <row r="4151">
          <cell r="A4151">
            <v>0</v>
          </cell>
          <cell r="K4151">
            <v>0</v>
          </cell>
        </row>
        <row r="4152">
          <cell r="A4152">
            <v>0</v>
          </cell>
          <cell r="K4152">
            <v>0</v>
          </cell>
        </row>
        <row r="4153">
          <cell r="A4153">
            <v>0</v>
          </cell>
          <cell r="K4153">
            <v>0</v>
          </cell>
        </row>
        <row r="4154">
          <cell r="A4154">
            <v>0</v>
          </cell>
          <cell r="K4154">
            <v>0</v>
          </cell>
        </row>
        <row r="4155">
          <cell r="A4155">
            <v>0</v>
          </cell>
          <cell r="K4155">
            <v>0</v>
          </cell>
        </row>
        <row r="4156">
          <cell r="A4156">
            <v>0</v>
          </cell>
          <cell r="K4156">
            <v>0</v>
          </cell>
        </row>
        <row r="4157">
          <cell r="A4157">
            <v>0</v>
          </cell>
          <cell r="K4157">
            <v>0</v>
          </cell>
        </row>
        <row r="4158">
          <cell r="A4158">
            <v>0</v>
          </cell>
          <cell r="K4158">
            <v>0</v>
          </cell>
        </row>
        <row r="4159">
          <cell r="A4159">
            <v>0</v>
          </cell>
          <cell r="K4159">
            <v>0</v>
          </cell>
        </row>
        <row r="4160">
          <cell r="A4160">
            <v>0</v>
          </cell>
          <cell r="K4160">
            <v>0</v>
          </cell>
        </row>
        <row r="4161">
          <cell r="A4161">
            <v>0</v>
          </cell>
          <cell r="K4161">
            <v>0</v>
          </cell>
        </row>
        <row r="4162">
          <cell r="A4162">
            <v>0</v>
          </cell>
          <cell r="K4162">
            <v>0</v>
          </cell>
        </row>
        <row r="4163">
          <cell r="A4163">
            <v>0</v>
          </cell>
          <cell r="K4163">
            <v>0</v>
          </cell>
        </row>
        <row r="4164">
          <cell r="A4164">
            <v>0</v>
          </cell>
          <cell r="K4164">
            <v>0</v>
          </cell>
        </row>
        <row r="4165">
          <cell r="A4165">
            <v>0</v>
          </cell>
          <cell r="K4165">
            <v>0</v>
          </cell>
        </row>
        <row r="4166">
          <cell r="A4166">
            <v>0</v>
          </cell>
          <cell r="K4166">
            <v>0</v>
          </cell>
        </row>
        <row r="4167">
          <cell r="A4167">
            <v>0</v>
          </cell>
          <cell r="K4167">
            <v>0</v>
          </cell>
        </row>
        <row r="4168">
          <cell r="A4168">
            <v>0</v>
          </cell>
          <cell r="K4168">
            <v>0</v>
          </cell>
        </row>
        <row r="4169">
          <cell r="A4169">
            <v>0</v>
          </cell>
          <cell r="K4169">
            <v>0</v>
          </cell>
        </row>
        <row r="4170">
          <cell r="A4170">
            <v>0</v>
          </cell>
          <cell r="K4170">
            <v>0</v>
          </cell>
        </row>
        <row r="4171">
          <cell r="A4171">
            <v>0</v>
          </cell>
          <cell r="K4171">
            <v>0</v>
          </cell>
        </row>
        <row r="4172">
          <cell r="A4172">
            <v>0</v>
          </cell>
          <cell r="K4172">
            <v>0</v>
          </cell>
        </row>
        <row r="4173">
          <cell r="A4173">
            <v>0</v>
          </cell>
          <cell r="K4173">
            <v>0</v>
          </cell>
        </row>
        <row r="4174">
          <cell r="A4174">
            <v>0</v>
          </cell>
          <cell r="K4174">
            <v>0</v>
          </cell>
        </row>
        <row r="4175">
          <cell r="A4175">
            <v>0</v>
          </cell>
          <cell r="K4175">
            <v>0</v>
          </cell>
        </row>
        <row r="4176">
          <cell r="A4176">
            <v>0</v>
          </cell>
          <cell r="K4176">
            <v>0</v>
          </cell>
        </row>
        <row r="4177">
          <cell r="A4177">
            <v>0</v>
          </cell>
          <cell r="K4177">
            <v>0</v>
          </cell>
        </row>
        <row r="4178">
          <cell r="A4178">
            <v>0</v>
          </cell>
          <cell r="K4178">
            <v>0</v>
          </cell>
        </row>
        <row r="4179">
          <cell r="A4179">
            <v>0</v>
          </cell>
          <cell r="K4179">
            <v>0</v>
          </cell>
        </row>
        <row r="4180">
          <cell r="A4180">
            <v>0</v>
          </cell>
          <cell r="K4180">
            <v>0</v>
          </cell>
        </row>
        <row r="4181">
          <cell r="A4181">
            <v>0</v>
          </cell>
          <cell r="K4181">
            <v>0</v>
          </cell>
        </row>
        <row r="4182">
          <cell r="A4182">
            <v>0</v>
          </cell>
          <cell r="K4182">
            <v>0</v>
          </cell>
        </row>
        <row r="4183">
          <cell r="A4183">
            <v>0</v>
          </cell>
          <cell r="K4183">
            <v>0</v>
          </cell>
        </row>
        <row r="4184">
          <cell r="A4184">
            <v>0</v>
          </cell>
          <cell r="K4184">
            <v>0</v>
          </cell>
        </row>
        <row r="4185">
          <cell r="A4185">
            <v>0</v>
          </cell>
          <cell r="K4185">
            <v>0</v>
          </cell>
        </row>
        <row r="4186">
          <cell r="A4186">
            <v>0</v>
          </cell>
          <cell r="K4186">
            <v>0</v>
          </cell>
        </row>
        <row r="4187">
          <cell r="A4187">
            <v>0</v>
          </cell>
          <cell r="K4187">
            <v>0</v>
          </cell>
        </row>
        <row r="4188">
          <cell r="A4188">
            <v>0</v>
          </cell>
          <cell r="K4188">
            <v>0</v>
          </cell>
        </row>
        <row r="4189">
          <cell r="A4189">
            <v>0</v>
          </cell>
          <cell r="K4189">
            <v>0</v>
          </cell>
        </row>
        <row r="4190">
          <cell r="A4190">
            <v>0</v>
          </cell>
          <cell r="K4190">
            <v>0</v>
          </cell>
        </row>
        <row r="4191">
          <cell r="A4191">
            <v>0</v>
          </cell>
          <cell r="K4191">
            <v>0</v>
          </cell>
        </row>
        <row r="4192">
          <cell r="A4192">
            <v>0</v>
          </cell>
          <cell r="K4192">
            <v>0</v>
          </cell>
        </row>
        <row r="4193">
          <cell r="A4193">
            <v>0</v>
          </cell>
          <cell r="K4193">
            <v>0</v>
          </cell>
        </row>
        <row r="4194">
          <cell r="A4194">
            <v>0</v>
          </cell>
          <cell r="K4194">
            <v>0</v>
          </cell>
        </row>
        <row r="4195">
          <cell r="A4195">
            <v>0</v>
          </cell>
          <cell r="K4195">
            <v>0</v>
          </cell>
        </row>
        <row r="4196">
          <cell r="A4196">
            <v>0</v>
          </cell>
          <cell r="K4196">
            <v>0</v>
          </cell>
        </row>
        <row r="4197">
          <cell r="A4197">
            <v>0</v>
          </cell>
          <cell r="K4197">
            <v>0</v>
          </cell>
        </row>
        <row r="4198">
          <cell r="A4198">
            <v>0</v>
          </cell>
          <cell r="K4198">
            <v>0</v>
          </cell>
        </row>
        <row r="4199">
          <cell r="A4199">
            <v>0</v>
          </cell>
          <cell r="K4199">
            <v>0</v>
          </cell>
        </row>
        <row r="4200">
          <cell r="A4200">
            <v>0</v>
          </cell>
          <cell r="K4200">
            <v>0</v>
          </cell>
        </row>
        <row r="4201">
          <cell r="A4201">
            <v>0</v>
          </cell>
          <cell r="K4201">
            <v>0</v>
          </cell>
        </row>
        <row r="4202">
          <cell r="A4202">
            <v>0</v>
          </cell>
          <cell r="K4202">
            <v>0</v>
          </cell>
        </row>
        <row r="4203">
          <cell r="A4203">
            <v>0</v>
          </cell>
          <cell r="K4203">
            <v>0</v>
          </cell>
        </row>
        <row r="4204">
          <cell r="A4204">
            <v>0</v>
          </cell>
          <cell r="K4204">
            <v>0</v>
          </cell>
        </row>
        <row r="4205">
          <cell r="A4205">
            <v>0</v>
          </cell>
          <cell r="K4205">
            <v>0</v>
          </cell>
        </row>
        <row r="4206">
          <cell r="A4206">
            <v>0</v>
          </cell>
          <cell r="K4206">
            <v>0</v>
          </cell>
        </row>
        <row r="4207">
          <cell r="A4207">
            <v>0</v>
          </cell>
          <cell r="K4207">
            <v>0</v>
          </cell>
        </row>
        <row r="4208">
          <cell r="A4208">
            <v>0</v>
          </cell>
          <cell r="K4208">
            <v>0</v>
          </cell>
        </row>
        <row r="4209">
          <cell r="A4209">
            <v>0</v>
          </cell>
          <cell r="K4209">
            <v>0</v>
          </cell>
        </row>
        <row r="4210">
          <cell r="A4210">
            <v>0</v>
          </cell>
          <cell r="K4210">
            <v>0</v>
          </cell>
        </row>
        <row r="4211">
          <cell r="A4211">
            <v>0</v>
          </cell>
          <cell r="K4211">
            <v>0</v>
          </cell>
        </row>
        <row r="4212">
          <cell r="A4212">
            <v>0</v>
          </cell>
          <cell r="K4212">
            <v>0</v>
          </cell>
        </row>
        <row r="4213">
          <cell r="A4213">
            <v>0</v>
          </cell>
          <cell r="K4213">
            <v>0</v>
          </cell>
        </row>
        <row r="4214">
          <cell r="A4214">
            <v>0</v>
          </cell>
          <cell r="K4214">
            <v>0</v>
          </cell>
        </row>
        <row r="4215">
          <cell r="A4215">
            <v>0</v>
          </cell>
          <cell r="K4215">
            <v>0</v>
          </cell>
        </row>
        <row r="4216">
          <cell r="A4216">
            <v>0</v>
          </cell>
          <cell r="K4216">
            <v>0</v>
          </cell>
        </row>
        <row r="4217">
          <cell r="A4217">
            <v>0</v>
          </cell>
          <cell r="K4217">
            <v>0</v>
          </cell>
        </row>
        <row r="4218">
          <cell r="A4218">
            <v>0</v>
          </cell>
          <cell r="K4218">
            <v>0</v>
          </cell>
        </row>
        <row r="4219">
          <cell r="A4219">
            <v>0</v>
          </cell>
          <cell r="K4219">
            <v>0</v>
          </cell>
        </row>
        <row r="4220">
          <cell r="A4220">
            <v>0</v>
          </cell>
          <cell r="K4220">
            <v>0</v>
          </cell>
        </row>
        <row r="4221">
          <cell r="A4221">
            <v>0</v>
          </cell>
          <cell r="K4221">
            <v>0</v>
          </cell>
        </row>
        <row r="4222">
          <cell r="A4222">
            <v>0</v>
          </cell>
          <cell r="K4222">
            <v>0</v>
          </cell>
        </row>
        <row r="4223">
          <cell r="A4223">
            <v>0</v>
          </cell>
          <cell r="K4223">
            <v>0</v>
          </cell>
        </row>
        <row r="4224">
          <cell r="A4224">
            <v>0</v>
          </cell>
          <cell r="K4224">
            <v>0</v>
          </cell>
        </row>
        <row r="4225">
          <cell r="A4225">
            <v>0</v>
          </cell>
          <cell r="K4225">
            <v>0</v>
          </cell>
        </row>
        <row r="4226">
          <cell r="A4226">
            <v>0</v>
          </cell>
          <cell r="K4226">
            <v>0</v>
          </cell>
        </row>
        <row r="4227">
          <cell r="A4227">
            <v>0</v>
          </cell>
          <cell r="K4227">
            <v>0</v>
          </cell>
        </row>
        <row r="4228">
          <cell r="A4228">
            <v>0</v>
          </cell>
          <cell r="K4228">
            <v>0</v>
          </cell>
        </row>
        <row r="4229">
          <cell r="A4229">
            <v>0</v>
          </cell>
          <cell r="K4229">
            <v>0</v>
          </cell>
        </row>
        <row r="4230">
          <cell r="A4230">
            <v>0</v>
          </cell>
          <cell r="K4230">
            <v>0</v>
          </cell>
        </row>
        <row r="4231">
          <cell r="A4231">
            <v>0</v>
          </cell>
          <cell r="K4231">
            <v>0</v>
          </cell>
        </row>
        <row r="4232">
          <cell r="A4232">
            <v>0</v>
          </cell>
          <cell r="K4232">
            <v>0</v>
          </cell>
        </row>
        <row r="4233">
          <cell r="A4233">
            <v>0</v>
          </cell>
          <cell r="K4233">
            <v>0</v>
          </cell>
        </row>
        <row r="4234">
          <cell r="A4234">
            <v>0</v>
          </cell>
          <cell r="K4234">
            <v>0</v>
          </cell>
        </row>
        <row r="4235">
          <cell r="A4235">
            <v>0</v>
          </cell>
          <cell r="K4235">
            <v>0</v>
          </cell>
        </row>
        <row r="4236">
          <cell r="A4236">
            <v>0</v>
          </cell>
          <cell r="K4236">
            <v>0</v>
          </cell>
        </row>
        <row r="4237">
          <cell r="A4237">
            <v>0</v>
          </cell>
          <cell r="K4237">
            <v>0</v>
          </cell>
        </row>
        <row r="4238">
          <cell r="A4238">
            <v>0</v>
          </cell>
          <cell r="K4238">
            <v>0</v>
          </cell>
        </row>
        <row r="4239">
          <cell r="A4239">
            <v>0</v>
          </cell>
          <cell r="K4239">
            <v>0</v>
          </cell>
        </row>
        <row r="4240">
          <cell r="A4240">
            <v>0</v>
          </cell>
          <cell r="K4240">
            <v>0</v>
          </cell>
        </row>
        <row r="4241">
          <cell r="A4241">
            <v>0</v>
          </cell>
          <cell r="K4241">
            <v>0</v>
          </cell>
        </row>
        <row r="4242">
          <cell r="A4242">
            <v>0</v>
          </cell>
          <cell r="K4242">
            <v>0</v>
          </cell>
        </row>
        <row r="4243">
          <cell r="A4243">
            <v>0</v>
          </cell>
          <cell r="K4243">
            <v>0</v>
          </cell>
        </row>
        <row r="4244">
          <cell r="A4244">
            <v>0</v>
          </cell>
          <cell r="K4244">
            <v>0</v>
          </cell>
        </row>
        <row r="4245">
          <cell r="A4245">
            <v>0</v>
          </cell>
          <cell r="K4245">
            <v>0</v>
          </cell>
        </row>
        <row r="4246">
          <cell r="A4246">
            <v>0</v>
          </cell>
          <cell r="K4246">
            <v>0</v>
          </cell>
        </row>
        <row r="4247">
          <cell r="A4247">
            <v>0</v>
          </cell>
          <cell r="K4247">
            <v>0</v>
          </cell>
        </row>
        <row r="4248">
          <cell r="A4248">
            <v>0</v>
          </cell>
          <cell r="K4248">
            <v>0</v>
          </cell>
        </row>
        <row r="4249">
          <cell r="A4249">
            <v>0</v>
          </cell>
          <cell r="K4249">
            <v>0</v>
          </cell>
        </row>
        <row r="4250">
          <cell r="A4250">
            <v>0</v>
          </cell>
          <cell r="K4250">
            <v>0</v>
          </cell>
        </row>
        <row r="4251">
          <cell r="A4251">
            <v>0</v>
          </cell>
          <cell r="K4251">
            <v>0</v>
          </cell>
        </row>
        <row r="4252">
          <cell r="A4252">
            <v>0</v>
          </cell>
          <cell r="K4252">
            <v>0</v>
          </cell>
        </row>
        <row r="4253">
          <cell r="A4253">
            <v>0</v>
          </cell>
          <cell r="K4253">
            <v>0</v>
          </cell>
        </row>
        <row r="4254">
          <cell r="A4254">
            <v>0</v>
          </cell>
          <cell r="K4254">
            <v>0</v>
          </cell>
        </row>
        <row r="4255">
          <cell r="A4255">
            <v>0</v>
          </cell>
          <cell r="K4255">
            <v>0</v>
          </cell>
        </row>
        <row r="4256">
          <cell r="A4256">
            <v>0</v>
          </cell>
          <cell r="K4256">
            <v>0</v>
          </cell>
        </row>
        <row r="4257">
          <cell r="A4257">
            <v>0</v>
          </cell>
          <cell r="K4257">
            <v>0</v>
          </cell>
        </row>
        <row r="4258">
          <cell r="A4258">
            <v>0</v>
          </cell>
          <cell r="K4258">
            <v>0</v>
          </cell>
        </row>
        <row r="4259">
          <cell r="A4259">
            <v>0</v>
          </cell>
          <cell r="K4259">
            <v>0</v>
          </cell>
        </row>
        <row r="4260">
          <cell r="A4260">
            <v>0</v>
          </cell>
          <cell r="K4260">
            <v>0</v>
          </cell>
        </row>
        <row r="4261">
          <cell r="A4261">
            <v>0</v>
          </cell>
          <cell r="K4261">
            <v>0</v>
          </cell>
        </row>
        <row r="4262">
          <cell r="A4262">
            <v>0</v>
          </cell>
          <cell r="K4262">
            <v>0</v>
          </cell>
        </row>
        <row r="4263">
          <cell r="A4263">
            <v>0</v>
          </cell>
          <cell r="K4263">
            <v>0</v>
          </cell>
        </row>
        <row r="4264">
          <cell r="A4264">
            <v>0</v>
          </cell>
          <cell r="K4264">
            <v>0</v>
          </cell>
        </row>
        <row r="4265">
          <cell r="A4265">
            <v>0</v>
          </cell>
          <cell r="K4265">
            <v>0</v>
          </cell>
        </row>
        <row r="4266">
          <cell r="A4266">
            <v>0</v>
          </cell>
          <cell r="K4266">
            <v>0</v>
          </cell>
        </row>
        <row r="4267">
          <cell r="A4267">
            <v>0</v>
          </cell>
          <cell r="K4267">
            <v>0</v>
          </cell>
        </row>
        <row r="4268">
          <cell r="A4268">
            <v>0</v>
          </cell>
          <cell r="K4268">
            <v>0</v>
          </cell>
        </row>
        <row r="4269">
          <cell r="A4269">
            <v>0</v>
          </cell>
          <cell r="K4269">
            <v>0</v>
          </cell>
        </row>
        <row r="4270">
          <cell r="A4270">
            <v>0</v>
          </cell>
          <cell r="K4270">
            <v>0</v>
          </cell>
        </row>
        <row r="4271">
          <cell r="A4271">
            <v>0</v>
          </cell>
          <cell r="K4271">
            <v>0</v>
          </cell>
        </row>
        <row r="4272">
          <cell r="A4272">
            <v>0</v>
          </cell>
          <cell r="K4272">
            <v>0</v>
          </cell>
        </row>
        <row r="4273">
          <cell r="A4273">
            <v>0</v>
          </cell>
          <cell r="K4273">
            <v>0</v>
          </cell>
        </row>
        <row r="4274">
          <cell r="A4274">
            <v>0</v>
          </cell>
          <cell r="K4274">
            <v>0</v>
          </cell>
        </row>
        <row r="4275">
          <cell r="A4275">
            <v>0</v>
          </cell>
          <cell r="K4275">
            <v>0</v>
          </cell>
        </row>
        <row r="4276">
          <cell r="A4276">
            <v>0</v>
          </cell>
          <cell r="K4276">
            <v>0</v>
          </cell>
        </row>
        <row r="4277">
          <cell r="A4277">
            <v>0</v>
          </cell>
          <cell r="K4277">
            <v>0</v>
          </cell>
        </row>
        <row r="4278">
          <cell r="A4278">
            <v>0</v>
          </cell>
          <cell r="K4278">
            <v>0</v>
          </cell>
        </row>
        <row r="4279">
          <cell r="A4279">
            <v>0</v>
          </cell>
          <cell r="K4279">
            <v>0</v>
          </cell>
        </row>
        <row r="4280">
          <cell r="A4280">
            <v>0</v>
          </cell>
          <cell r="K4280">
            <v>0</v>
          </cell>
        </row>
        <row r="4281">
          <cell r="A4281">
            <v>0</v>
          </cell>
          <cell r="K4281">
            <v>0</v>
          </cell>
        </row>
        <row r="4282">
          <cell r="A4282">
            <v>0</v>
          </cell>
          <cell r="K4282">
            <v>0</v>
          </cell>
        </row>
        <row r="4283">
          <cell r="A4283">
            <v>0</v>
          </cell>
          <cell r="K4283">
            <v>0</v>
          </cell>
        </row>
        <row r="4284">
          <cell r="A4284">
            <v>0</v>
          </cell>
          <cell r="K4284">
            <v>0</v>
          </cell>
        </row>
        <row r="4285">
          <cell r="A4285">
            <v>0</v>
          </cell>
          <cell r="K4285">
            <v>0</v>
          </cell>
        </row>
        <row r="4286">
          <cell r="A4286">
            <v>0</v>
          </cell>
          <cell r="K4286">
            <v>0</v>
          </cell>
        </row>
        <row r="4287">
          <cell r="A4287">
            <v>0</v>
          </cell>
          <cell r="K4287">
            <v>0</v>
          </cell>
        </row>
        <row r="4288">
          <cell r="A4288">
            <v>0</v>
          </cell>
          <cell r="K4288">
            <v>0</v>
          </cell>
        </row>
        <row r="4289">
          <cell r="A4289">
            <v>0</v>
          </cell>
          <cell r="K4289">
            <v>0</v>
          </cell>
        </row>
        <row r="4290">
          <cell r="A4290">
            <v>0</v>
          </cell>
          <cell r="K4290">
            <v>0</v>
          </cell>
        </row>
        <row r="4291">
          <cell r="A4291">
            <v>0</v>
          </cell>
          <cell r="K4291">
            <v>0</v>
          </cell>
        </row>
        <row r="4292">
          <cell r="A4292">
            <v>0</v>
          </cell>
          <cell r="K4292">
            <v>0</v>
          </cell>
        </row>
        <row r="4293">
          <cell r="A4293">
            <v>0</v>
          </cell>
          <cell r="K4293">
            <v>0</v>
          </cell>
        </row>
        <row r="4294">
          <cell r="A4294">
            <v>0</v>
          </cell>
          <cell r="K4294">
            <v>0</v>
          </cell>
        </row>
        <row r="4295">
          <cell r="A4295">
            <v>0</v>
          </cell>
          <cell r="K4295">
            <v>0</v>
          </cell>
        </row>
        <row r="4296">
          <cell r="A4296">
            <v>0</v>
          </cell>
          <cell r="K4296">
            <v>0</v>
          </cell>
        </row>
        <row r="4297">
          <cell r="A4297">
            <v>0</v>
          </cell>
          <cell r="K4297">
            <v>0</v>
          </cell>
        </row>
        <row r="4298">
          <cell r="A4298">
            <v>0</v>
          </cell>
          <cell r="K4298">
            <v>0</v>
          </cell>
        </row>
        <row r="4299">
          <cell r="A4299">
            <v>0</v>
          </cell>
          <cell r="K4299">
            <v>0</v>
          </cell>
        </row>
        <row r="4300">
          <cell r="A4300">
            <v>0</v>
          </cell>
          <cell r="K4300">
            <v>0</v>
          </cell>
        </row>
        <row r="4301">
          <cell r="A4301">
            <v>0</v>
          </cell>
          <cell r="K4301">
            <v>0</v>
          </cell>
        </row>
        <row r="4302">
          <cell r="A4302">
            <v>0</v>
          </cell>
          <cell r="K4302">
            <v>0</v>
          </cell>
        </row>
        <row r="4303">
          <cell r="A4303">
            <v>0</v>
          </cell>
          <cell r="K4303">
            <v>0</v>
          </cell>
        </row>
        <row r="4304">
          <cell r="A4304">
            <v>0</v>
          </cell>
          <cell r="K4304">
            <v>0</v>
          </cell>
        </row>
        <row r="4305">
          <cell r="A4305">
            <v>0</v>
          </cell>
          <cell r="K4305">
            <v>0</v>
          </cell>
        </row>
        <row r="4306">
          <cell r="A4306">
            <v>0</v>
          </cell>
          <cell r="K4306">
            <v>0</v>
          </cell>
        </row>
        <row r="4307">
          <cell r="A4307">
            <v>0</v>
          </cell>
          <cell r="K4307">
            <v>0</v>
          </cell>
        </row>
        <row r="4308">
          <cell r="A4308">
            <v>0</v>
          </cell>
          <cell r="K4308">
            <v>0</v>
          </cell>
        </row>
        <row r="4309">
          <cell r="A4309">
            <v>0</v>
          </cell>
          <cell r="K4309">
            <v>0</v>
          </cell>
        </row>
        <row r="4310">
          <cell r="A4310">
            <v>0</v>
          </cell>
          <cell r="K4310">
            <v>0</v>
          </cell>
        </row>
        <row r="4311">
          <cell r="A4311">
            <v>0</v>
          </cell>
          <cell r="K4311">
            <v>0</v>
          </cell>
        </row>
        <row r="4312">
          <cell r="A4312">
            <v>0</v>
          </cell>
          <cell r="K4312">
            <v>0</v>
          </cell>
        </row>
        <row r="4313">
          <cell r="A4313">
            <v>0</v>
          </cell>
          <cell r="K4313">
            <v>0</v>
          </cell>
        </row>
        <row r="4314">
          <cell r="A4314">
            <v>0</v>
          </cell>
          <cell r="K4314">
            <v>0</v>
          </cell>
        </row>
        <row r="4315">
          <cell r="A4315">
            <v>0</v>
          </cell>
          <cell r="K4315">
            <v>0</v>
          </cell>
        </row>
        <row r="4316">
          <cell r="A4316">
            <v>0</v>
          </cell>
          <cell r="K4316">
            <v>0</v>
          </cell>
        </row>
        <row r="4317">
          <cell r="A4317">
            <v>0</v>
          </cell>
          <cell r="K4317">
            <v>0</v>
          </cell>
        </row>
        <row r="4318">
          <cell r="A4318">
            <v>0</v>
          </cell>
          <cell r="K4318">
            <v>0</v>
          </cell>
        </row>
        <row r="4319">
          <cell r="A4319">
            <v>0</v>
          </cell>
          <cell r="K4319">
            <v>0</v>
          </cell>
        </row>
        <row r="4320">
          <cell r="A4320">
            <v>0</v>
          </cell>
          <cell r="K4320">
            <v>0</v>
          </cell>
        </row>
        <row r="4321">
          <cell r="A4321">
            <v>0</v>
          </cell>
          <cell r="K4321">
            <v>0</v>
          </cell>
        </row>
        <row r="4322">
          <cell r="A4322">
            <v>0</v>
          </cell>
          <cell r="K4322">
            <v>0</v>
          </cell>
        </row>
        <row r="4323">
          <cell r="A4323">
            <v>0</v>
          </cell>
          <cell r="K4323">
            <v>0</v>
          </cell>
        </row>
        <row r="4324">
          <cell r="A4324">
            <v>0</v>
          </cell>
          <cell r="K4324">
            <v>0</v>
          </cell>
        </row>
        <row r="4325">
          <cell r="A4325">
            <v>0</v>
          </cell>
          <cell r="K4325">
            <v>0</v>
          </cell>
        </row>
        <row r="4326">
          <cell r="A4326">
            <v>0</v>
          </cell>
          <cell r="K4326">
            <v>0</v>
          </cell>
        </row>
        <row r="4327">
          <cell r="A4327">
            <v>0</v>
          </cell>
          <cell r="K4327">
            <v>0</v>
          </cell>
        </row>
        <row r="4328">
          <cell r="A4328">
            <v>0</v>
          </cell>
          <cell r="K4328">
            <v>0</v>
          </cell>
        </row>
        <row r="4329">
          <cell r="A4329">
            <v>0</v>
          </cell>
          <cell r="K4329">
            <v>0</v>
          </cell>
        </row>
        <row r="4330">
          <cell r="A4330">
            <v>0</v>
          </cell>
          <cell r="K4330">
            <v>0</v>
          </cell>
        </row>
        <row r="4331">
          <cell r="A4331">
            <v>0</v>
          </cell>
          <cell r="K4331">
            <v>0</v>
          </cell>
        </row>
        <row r="4332">
          <cell r="A4332">
            <v>0</v>
          </cell>
          <cell r="K4332">
            <v>0</v>
          </cell>
        </row>
        <row r="4333">
          <cell r="A4333">
            <v>0</v>
          </cell>
          <cell r="K4333">
            <v>0</v>
          </cell>
        </row>
        <row r="4334">
          <cell r="A4334">
            <v>0</v>
          </cell>
          <cell r="K4334">
            <v>0</v>
          </cell>
        </row>
        <row r="4335">
          <cell r="A4335">
            <v>0</v>
          </cell>
          <cell r="K4335">
            <v>0</v>
          </cell>
        </row>
        <row r="4336">
          <cell r="A4336">
            <v>0</v>
          </cell>
          <cell r="K4336">
            <v>0</v>
          </cell>
        </row>
        <row r="4337">
          <cell r="A4337">
            <v>0</v>
          </cell>
          <cell r="K4337">
            <v>0</v>
          </cell>
        </row>
        <row r="4338">
          <cell r="A4338">
            <v>0</v>
          </cell>
          <cell r="K4338">
            <v>0</v>
          </cell>
        </row>
        <row r="4339">
          <cell r="A4339">
            <v>0</v>
          </cell>
          <cell r="K4339">
            <v>0</v>
          </cell>
        </row>
        <row r="4340">
          <cell r="A4340">
            <v>0</v>
          </cell>
          <cell r="K4340">
            <v>0</v>
          </cell>
        </row>
        <row r="4341">
          <cell r="A4341">
            <v>0</v>
          </cell>
          <cell r="K4341">
            <v>0</v>
          </cell>
        </row>
        <row r="4342">
          <cell r="A4342">
            <v>0</v>
          </cell>
          <cell r="K4342">
            <v>0</v>
          </cell>
        </row>
        <row r="4343">
          <cell r="A4343">
            <v>0</v>
          </cell>
          <cell r="K4343">
            <v>0</v>
          </cell>
        </row>
        <row r="4344">
          <cell r="A4344">
            <v>0</v>
          </cell>
          <cell r="K4344">
            <v>0</v>
          </cell>
        </row>
        <row r="4345">
          <cell r="A4345">
            <v>0</v>
          </cell>
          <cell r="K4345">
            <v>0</v>
          </cell>
        </row>
        <row r="4346">
          <cell r="A4346">
            <v>0</v>
          </cell>
          <cell r="K4346">
            <v>0</v>
          </cell>
        </row>
        <row r="4347">
          <cell r="A4347">
            <v>0</v>
          </cell>
          <cell r="K4347">
            <v>0</v>
          </cell>
        </row>
        <row r="4348">
          <cell r="A4348">
            <v>0</v>
          </cell>
          <cell r="K4348">
            <v>0</v>
          </cell>
        </row>
        <row r="4349">
          <cell r="A4349">
            <v>0</v>
          </cell>
          <cell r="K4349">
            <v>0</v>
          </cell>
        </row>
        <row r="4350">
          <cell r="A4350">
            <v>0</v>
          </cell>
          <cell r="K4350">
            <v>0</v>
          </cell>
        </row>
        <row r="4351">
          <cell r="A4351">
            <v>0</v>
          </cell>
          <cell r="K4351">
            <v>0</v>
          </cell>
        </row>
        <row r="4352">
          <cell r="A4352">
            <v>0</v>
          </cell>
          <cell r="K4352">
            <v>0</v>
          </cell>
        </row>
        <row r="4353">
          <cell r="A4353">
            <v>0</v>
          </cell>
          <cell r="K4353">
            <v>0</v>
          </cell>
        </row>
        <row r="4354">
          <cell r="A4354">
            <v>0</v>
          </cell>
          <cell r="K4354">
            <v>0</v>
          </cell>
        </row>
        <row r="4355">
          <cell r="A4355">
            <v>0</v>
          </cell>
          <cell r="K4355">
            <v>0</v>
          </cell>
        </row>
        <row r="4356">
          <cell r="A4356">
            <v>0</v>
          </cell>
          <cell r="K4356">
            <v>0</v>
          </cell>
        </row>
        <row r="4357">
          <cell r="A4357">
            <v>0</v>
          </cell>
          <cell r="K4357">
            <v>0</v>
          </cell>
        </row>
        <row r="4358">
          <cell r="A4358">
            <v>0</v>
          </cell>
          <cell r="K4358">
            <v>0</v>
          </cell>
        </row>
        <row r="4359">
          <cell r="A4359">
            <v>0</v>
          </cell>
          <cell r="K4359">
            <v>0</v>
          </cell>
        </row>
        <row r="4360">
          <cell r="A4360">
            <v>0</v>
          </cell>
          <cell r="K4360">
            <v>0</v>
          </cell>
        </row>
        <row r="4361">
          <cell r="A4361">
            <v>0</v>
          </cell>
          <cell r="K4361">
            <v>0</v>
          </cell>
        </row>
        <row r="4362">
          <cell r="A4362">
            <v>0</v>
          </cell>
          <cell r="K4362">
            <v>0</v>
          </cell>
        </row>
        <row r="4363">
          <cell r="A4363">
            <v>0</v>
          </cell>
          <cell r="K4363">
            <v>0</v>
          </cell>
        </row>
        <row r="4364">
          <cell r="A4364">
            <v>0</v>
          </cell>
          <cell r="K4364">
            <v>0</v>
          </cell>
        </row>
        <row r="4365">
          <cell r="A4365">
            <v>0</v>
          </cell>
          <cell r="K4365">
            <v>0</v>
          </cell>
        </row>
        <row r="4366">
          <cell r="A4366">
            <v>0</v>
          </cell>
          <cell r="K4366">
            <v>0</v>
          </cell>
        </row>
        <row r="4367">
          <cell r="A4367">
            <v>0</v>
          </cell>
          <cell r="K4367">
            <v>0</v>
          </cell>
        </row>
        <row r="4368">
          <cell r="A4368">
            <v>0</v>
          </cell>
          <cell r="K4368">
            <v>0</v>
          </cell>
        </row>
        <row r="4369">
          <cell r="A4369">
            <v>0</v>
          </cell>
          <cell r="K4369">
            <v>0</v>
          </cell>
        </row>
        <row r="4370">
          <cell r="A4370">
            <v>0</v>
          </cell>
          <cell r="K4370">
            <v>0</v>
          </cell>
        </row>
        <row r="4371">
          <cell r="A4371">
            <v>0</v>
          </cell>
          <cell r="K4371">
            <v>0</v>
          </cell>
        </row>
        <row r="4372">
          <cell r="A4372">
            <v>0</v>
          </cell>
          <cell r="K4372">
            <v>0</v>
          </cell>
        </row>
        <row r="4373">
          <cell r="A4373">
            <v>0</v>
          </cell>
          <cell r="K4373">
            <v>0</v>
          </cell>
        </row>
        <row r="4374">
          <cell r="A4374">
            <v>0</v>
          </cell>
          <cell r="K4374">
            <v>0</v>
          </cell>
        </row>
        <row r="4375">
          <cell r="A4375">
            <v>0</v>
          </cell>
          <cell r="K4375">
            <v>0</v>
          </cell>
        </row>
        <row r="4376">
          <cell r="A4376">
            <v>0</v>
          </cell>
          <cell r="K4376">
            <v>0</v>
          </cell>
        </row>
        <row r="4377">
          <cell r="A4377">
            <v>0</v>
          </cell>
          <cell r="K4377">
            <v>0</v>
          </cell>
        </row>
        <row r="4378">
          <cell r="A4378">
            <v>0</v>
          </cell>
          <cell r="K4378">
            <v>0</v>
          </cell>
        </row>
        <row r="4379">
          <cell r="A4379">
            <v>0</v>
          </cell>
          <cell r="K4379">
            <v>0</v>
          </cell>
        </row>
        <row r="4380">
          <cell r="A4380">
            <v>0</v>
          </cell>
          <cell r="K4380">
            <v>0</v>
          </cell>
        </row>
        <row r="4381">
          <cell r="A4381">
            <v>0</v>
          </cell>
          <cell r="K4381">
            <v>0</v>
          </cell>
        </row>
        <row r="4382">
          <cell r="A4382">
            <v>0</v>
          </cell>
          <cell r="K4382">
            <v>0</v>
          </cell>
        </row>
        <row r="4383">
          <cell r="A4383">
            <v>0</v>
          </cell>
          <cell r="K4383">
            <v>0</v>
          </cell>
        </row>
        <row r="4384">
          <cell r="A4384">
            <v>0</v>
          </cell>
          <cell r="K4384">
            <v>0</v>
          </cell>
        </row>
        <row r="4385">
          <cell r="A4385">
            <v>0</v>
          </cell>
          <cell r="K4385">
            <v>0</v>
          </cell>
        </row>
        <row r="4386">
          <cell r="A4386">
            <v>0</v>
          </cell>
          <cell r="K4386">
            <v>0</v>
          </cell>
        </row>
        <row r="4387">
          <cell r="A4387">
            <v>0</v>
          </cell>
          <cell r="K4387">
            <v>0</v>
          </cell>
        </row>
        <row r="4388">
          <cell r="A4388">
            <v>0</v>
          </cell>
          <cell r="K4388">
            <v>0</v>
          </cell>
        </row>
        <row r="4389">
          <cell r="A4389">
            <v>0</v>
          </cell>
          <cell r="K4389">
            <v>0</v>
          </cell>
        </row>
        <row r="4390">
          <cell r="A4390">
            <v>0</v>
          </cell>
          <cell r="K4390">
            <v>0</v>
          </cell>
        </row>
        <row r="4391">
          <cell r="A4391">
            <v>0</v>
          </cell>
          <cell r="K4391">
            <v>0</v>
          </cell>
        </row>
        <row r="4392">
          <cell r="A4392">
            <v>0</v>
          </cell>
          <cell r="K4392">
            <v>0</v>
          </cell>
        </row>
        <row r="4393">
          <cell r="A4393">
            <v>0</v>
          </cell>
          <cell r="K4393">
            <v>0</v>
          </cell>
        </row>
        <row r="4394">
          <cell r="A4394">
            <v>0</v>
          </cell>
          <cell r="K4394">
            <v>0</v>
          </cell>
        </row>
        <row r="4395">
          <cell r="A4395">
            <v>0</v>
          </cell>
          <cell r="K4395">
            <v>0</v>
          </cell>
        </row>
        <row r="4396">
          <cell r="A4396">
            <v>0</v>
          </cell>
          <cell r="K4396">
            <v>0</v>
          </cell>
        </row>
        <row r="4397">
          <cell r="A4397">
            <v>0</v>
          </cell>
          <cell r="K4397">
            <v>0</v>
          </cell>
        </row>
        <row r="4398">
          <cell r="A4398">
            <v>0</v>
          </cell>
          <cell r="K4398">
            <v>0</v>
          </cell>
        </row>
        <row r="4399">
          <cell r="A4399">
            <v>0</v>
          </cell>
          <cell r="K4399">
            <v>0</v>
          </cell>
        </row>
        <row r="4400">
          <cell r="A4400">
            <v>0</v>
          </cell>
          <cell r="K4400">
            <v>0</v>
          </cell>
        </row>
        <row r="4401">
          <cell r="A4401">
            <v>0</v>
          </cell>
          <cell r="K4401">
            <v>0</v>
          </cell>
        </row>
        <row r="4402">
          <cell r="A4402">
            <v>0</v>
          </cell>
          <cell r="K4402">
            <v>0</v>
          </cell>
        </row>
        <row r="4403">
          <cell r="A4403">
            <v>0</v>
          </cell>
          <cell r="K4403">
            <v>0</v>
          </cell>
        </row>
        <row r="4404">
          <cell r="A4404">
            <v>0</v>
          </cell>
          <cell r="K4404">
            <v>0</v>
          </cell>
        </row>
        <row r="4405">
          <cell r="A4405">
            <v>0</v>
          </cell>
          <cell r="K4405">
            <v>0</v>
          </cell>
        </row>
        <row r="4406">
          <cell r="A4406">
            <v>0</v>
          </cell>
          <cell r="K4406">
            <v>0</v>
          </cell>
        </row>
        <row r="4407">
          <cell r="A4407">
            <v>0</v>
          </cell>
          <cell r="K4407">
            <v>0</v>
          </cell>
        </row>
        <row r="4408">
          <cell r="A4408">
            <v>0</v>
          </cell>
          <cell r="K4408">
            <v>0</v>
          </cell>
        </row>
        <row r="4409">
          <cell r="A4409">
            <v>0</v>
          </cell>
          <cell r="K4409">
            <v>0</v>
          </cell>
        </row>
        <row r="4410">
          <cell r="A4410">
            <v>0</v>
          </cell>
          <cell r="K4410">
            <v>0</v>
          </cell>
        </row>
        <row r="4411">
          <cell r="A4411">
            <v>0</v>
          </cell>
          <cell r="K4411">
            <v>0</v>
          </cell>
        </row>
        <row r="4412">
          <cell r="A4412">
            <v>0</v>
          </cell>
          <cell r="K4412">
            <v>0</v>
          </cell>
        </row>
        <row r="4413">
          <cell r="A4413">
            <v>0</v>
          </cell>
          <cell r="K4413">
            <v>0</v>
          </cell>
        </row>
        <row r="4414">
          <cell r="A4414">
            <v>0</v>
          </cell>
          <cell r="K4414">
            <v>0</v>
          </cell>
        </row>
        <row r="4415">
          <cell r="A4415">
            <v>0</v>
          </cell>
          <cell r="K4415">
            <v>0</v>
          </cell>
        </row>
        <row r="4416">
          <cell r="A4416">
            <v>0</v>
          </cell>
          <cell r="K4416">
            <v>0</v>
          </cell>
        </row>
        <row r="4417">
          <cell r="A4417">
            <v>0</v>
          </cell>
          <cell r="K4417">
            <v>0</v>
          </cell>
        </row>
        <row r="4418">
          <cell r="A4418">
            <v>0</v>
          </cell>
          <cell r="K4418">
            <v>0</v>
          </cell>
        </row>
        <row r="4419">
          <cell r="A4419">
            <v>0</v>
          </cell>
          <cell r="K4419">
            <v>0</v>
          </cell>
        </row>
        <row r="4420">
          <cell r="A4420">
            <v>0</v>
          </cell>
          <cell r="K4420">
            <v>0</v>
          </cell>
        </row>
        <row r="4421">
          <cell r="A4421">
            <v>0</v>
          </cell>
          <cell r="K4421">
            <v>0</v>
          </cell>
        </row>
        <row r="4422">
          <cell r="A4422">
            <v>0</v>
          </cell>
          <cell r="K4422">
            <v>0</v>
          </cell>
        </row>
        <row r="4423">
          <cell r="A4423">
            <v>0</v>
          </cell>
          <cell r="K4423">
            <v>0</v>
          </cell>
        </row>
        <row r="4424">
          <cell r="A4424">
            <v>0</v>
          </cell>
          <cell r="K4424">
            <v>0</v>
          </cell>
        </row>
        <row r="4425">
          <cell r="A4425">
            <v>0</v>
          </cell>
          <cell r="K4425">
            <v>0</v>
          </cell>
        </row>
        <row r="4426">
          <cell r="A4426">
            <v>0</v>
          </cell>
          <cell r="K4426">
            <v>0</v>
          </cell>
        </row>
        <row r="4427">
          <cell r="A4427">
            <v>0</v>
          </cell>
          <cell r="K4427">
            <v>0</v>
          </cell>
        </row>
        <row r="4428">
          <cell r="A4428">
            <v>0</v>
          </cell>
          <cell r="K4428">
            <v>0</v>
          </cell>
        </row>
        <row r="4429">
          <cell r="A4429">
            <v>0</v>
          </cell>
          <cell r="K4429">
            <v>0</v>
          </cell>
        </row>
        <row r="4430">
          <cell r="A4430">
            <v>0</v>
          </cell>
          <cell r="K4430">
            <v>0</v>
          </cell>
        </row>
        <row r="4431">
          <cell r="A4431">
            <v>0</v>
          </cell>
          <cell r="K4431">
            <v>0</v>
          </cell>
        </row>
        <row r="4432">
          <cell r="A4432">
            <v>0</v>
          </cell>
          <cell r="K4432">
            <v>0</v>
          </cell>
        </row>
        <row r="4433">
          <cell r="A4433">
            <v>0</v>
          </cell>
          <cell r="K4433">
            <v>0</v>
          </cell>
        </row>
        <row r="4434">
          <cell r="A4434">
            <v>0</v>
          </cell>
          <cell r="K4434">
            <v>0</v>
          </cell>
        </row>
        <row r="4435">
          <cell r="A4435">
            <v>0</v>
          </cell>
          <cell r="K4435">
            <v>0</v>
          </cell>
        </row>
        <row r="4436">
          <cell r="A4436">
            <v>0</v>
          </cell>
          <cell r="K4436">
            <v>0</v>
          </cell>
        </row>
        <row r="4437">
          <cell r="A4437">
            <v>0</v>
          </cell>
          <cell r="K4437">
            <v>0</v>
          </cell>
        </row>
        <row r="4438">
          <cell r="A4438">
            <v>0</v>
          </cell>
          <cell r="K4438">
            <v>0</v>
          </cell>
        </row>
        <row r="4439">
          <cell r="A4439">
            <v>0</v>
          </cell>
          <cell r="K4439">
            <v>0</v>
          </cell>
        </row>
        <row r="4440">
          <cell r="A4440">
            <v>0</v>
          </cell>
          <cell r="K4440">
            <v>0</v>
          </cell>
        </row>
        <row r="4441">
          <cell r="A4441">
            <v>0</v>
          </cell>
          <cell r="K4441">
            <v>0</v>
          </cell>
        </row>
        <row r="4442">
          <cell r="A4442">
            <v>0</v>
          </cell>
          <cell r="K4442">
            <v>0</v>
          </cell>
        </row>
        <row r="4443">
          <cell r="A4443">
            <v>0</v>
          </cell>
          <cell r="K4443">
            <v>0</v>
          </cell>
        </row>
        <row r="4444">
          <cell r="A4444">
            <v>0</v>
          </cell>
          <cell r="K4444">
            <v>0</v>
          </cell>
        </row>
        <row r="4445">
          <cell r="A4445">
            <v>0</v>
          </cell>
          <cell r="K4445">
            <v>0</v>
          </cell>
        </row>
        <row r="4446">
          <cell r="A4446">
            <v>0</v>
          </cell>
          <cell r="K4446">
            <v>0</v>
          </cell>
        </row>
        <row r="4447">
          <cell r="A4447">
            <v>0</v>
          </cell>
          <cell r="K4447">
            <v>0</v>
          </cell>
        </row>
        <row r="4448">
          <cell r="A4448">
            <v>0</v>
          </cell>
          <cell r="K4448">
            <v>0</v>
          </cell>
        </row>
        <row r="4449">
          <cell r="A4449">
            <v>0</v>
          </cell>
          <cell r="K4449">
            <v>0</v>
          </cell>
        </row>
        <row r="4450">
          <cell r="A4450">
            <v>0</v>
          </cell>
          <cell r="K4450">
            <v>0</v>
          </cell>
        </row>
        <row r="4451">
          <cell r="A4451">
            <v>0</v>
          </cell>
          <cell r="K4451">
            <v>0</v>
          </cell>
        </row>
        <row r="4452">
          <cell r="A4452">
            <v>0</v>
          </cell>
          <cell r="K4452">
            <v>0</v>
          </cell>
        </row>
        <row r="4453">
          <cell r="A4453">
            <v>0</v>
          </cell>
          <cell r="K4453">
            <v>0</v>
          </cell>
        </row>
        <row r="4454">
          <cell r="A4454">
            <v>0</v>
          </cell>
          <cell r="K4454">
            <v>0</v>
          </cell>
        </row>
        <row r="4455">
          <cell r="A4455">
            <v>0</v>
          </cell>
          <cell r="K4455">
            <v>0</v>
          </cell>
        </row>
        <row r="4456">
          <cell r="A4456">
            <v>0</v>
          </cell>
          <cell r="K4456">
            <v>0</v>
          </cell>
        </row>
        <row r="4457">
          <cell r="A4457">
            <v>0</v>
          </cell>
          <cell r="K4457">
            <v>0</v>
          </cell>
        </row>
        <row r="4458">
          <cell r="A4458">
            <v>0</v>
          </cell>
          <cell r="K4458">
            <v>0</v>
          </cell>
        </row>
        <row r="4459">
          <cell r="A4459">
            <v>0</v>
          </cell>
          <cell r="K4459">
            <v>0</v>
          </cell>
        </row>
        <row r="4460">
          <cell r="A4460">
            <v>0</v>
          </cell>
          <cell r="K4460">
            <v>0</v>
          </cell>
        </row>
        <row r="4461">
          <cell r="A4461">
            <v>0</v>
          </cell>
          <cell r="K4461">
            <v>0</v>
          </cell>
        </row>
        <row r="4462">
          <cell r="A4462">
            <v>0</v>
          </cell>
          <cell r="K4462">
            <v>0</v>
          </cell>
        </row>
        <row r="4463">
          <cell r="A4463">
            <v>0</v>
          </cell>
          <cell r="K4463">
            <v>0</v>
          </cell>
        </row>
        <row r="4464">
          <cell r="A4464">
            <v>0</v>
          </cell>
          <cell r="K4464">
            <v>0</v>
          </cell>
        </row>
        <row r="4465">
          <cell r="A4465">
            <v>0</v>
          </cell>
          <cell r="K4465">
            <v>0</v>
          </cell>
        </row>
        <row r="4466">
          <cell r="A4466">
            <v>0</v>
          </cell>
          <cell r="K4466">
            <v>0</v>
          </cell>
        </row>
        <row r="4467">
          <cell r="A4467">
            <v>0</v>
          </cell>
          <cell r="K4467">
            <v>0</v>
          </cell>
        </row>
        <row r="4468">
          <cell r="A4468">
            <v>0</v>
          </cell>
          <cell r="K4468">
            <v>0</v>
          </cell>
        </row>
        <row r="4469">
          <cell r="A4469">
            <v>0</v>
          </cell>
          <cell r="K4469">
            <v>0</v>
          </cell>
        </row>
        <row r="4470">
          <cell r="A4470">
            <v>0</v>
          </cell>
          <cell r="K4470">
            <v>0</v>
          </cell>
        </row>
        <row r="4471">
          <cell r="A4471">
            <v>0</v>
          </cell>
          <cell r="K4471">
            <v>0</v>
          </cell>
        </row>
        <row r="4472">
          <cell r="A4472">
            <v>0</v>
          </cell>
          <cell r="K4472">
            <v>0</v>
          </cell>
        </row>
        <row r="4473">
          <cell r="A4473">
            <v>0</v>
          </cell>
          <cell r="K4473">
            <v>0</v>
          </cell>
        </row>
        <row r="4474">
          <cell r="A4474">
            <v>0</v>
          </cell>
          <cell r="K4474">
            <v>0</v>
          </cell>
        </row>
        <row r="4475">
          <cell r="A4475">
            <v>0</v>
          </cell>
          <cell r="K4475">
            <v>0</v>
          </cell>
        </row>
        <row r="4476">
          <cell r="A4476">
            <v>0</v>
          </cell>
          <cell r="K4476">
            <v>0</v>
          </cell>
        </row>
        <row r="4477">
          <cell r="A4477">
            <v>0</v>
          </cell>
          <cell r="K4477">
            <v>0</v>
          </cell>
        </row>
        <row r="4478">
          <cell r="A4478">
            <v>0</v>
          </cell>
          <cell r="K4478">
            <v>0</v>
          </cell>
        </row>
        <row r="4479">
          <cell r="A4479">
            <v>0</v>
          </cell>
          <cell r="K4479">
            <v>0</v>
          </cell>
        </row>
        <row r="4480">
          <cell r="A4480">
            <v>0</v>
          </cell>
          <cell r="K4480">
            <v>0</v>
          </cell>
        </row>
        <row r="4481">
          <cell r="A4481">
            <v>0</v>
          </cell>
          <cell r="K4481">
            <v>0</v>
          </cell>
        </row>
        <row r="4482">
          <cell r="A4482">
            <v>0</v>
          </cell>
          <cell r="K4482">
            <v>0</v>
          </cell>
        </row>
        <row r="4483">
          <cell r="A4483">
            <v>0</v>
          </cell>
          <cell r="K4483">
            <v>0</v>
          </cell>
        </row>
        <row r="4484">
          <cell r="A4484">
            <v>0</v>
          </cell>
          <cell r="K4484">
            <v>0</v>
          </cell>
        </row>
        <row r="4485">
          <cell r="A4485">
            <v>0</v>
          </cell>
          <cell r="K4485">
            <v>0</v>
          </cell>
        </row>
        <row r="4486">
          <cell r="A4486">
            <v>0</v>
          </cell>
          <cell r="K4486">
            <v>0</v>
          </cell>
        </row>
        <row r="4487">
          <cell r="A4487">
            <v>0</v>
          </cell>
          <cell r="K4487">
            <v>0</v>
          </cell>
        </row>
        <row r="4488">
          <cell r="A4488">
            <v>0</v>
          </cell>
          <cell r="K4488">
            <v>0</v>
          </cell>
        </row>
        <row r="4489">
          <cell r="A4489">
            <v>0</v>
          </cell>
          <cell r="K4489">
            <v>0</v>
          </cell>
        </row>
        <row r="4490">
          <cell r="A4490">
            <v>0</v>
          </cell>
          <cell r="K4490">
            <v>0</v>
          </cell>
        </row>
        <row r="4491">
          <cell r="A4491">
            <v>0</v>
          </cell>
          <cell r="K4491">
            <v>0</v>
          </cell>
        </row>
        <row r="4492">
          <cell r="A4492">
            <v>0</v>
          </cell>
          <cell r="K4492">
            <v>0</v>
          </cell>
        </row>
        <row r="4493">
          <cell r="A4493">
            <v>0</v>
          </cell>
          <cell r="K4493">
            <v>0</v>
          </cell>
        </row>
        <row r="4494">
          <cell r="A4494">
            <v>0</v>
          </cell>
          <cell r="K4494">
            <v>0</v>
          </cell>
        </row>
        <row r="4495">
          <cell r="A4495">
            <v>0</v>
          </cell>
          <cell r="K4495">
            <v>0</v>
          </cell>
        </row>
        <row r="4496">
          <cell r="A4496">
            <v>0</v>
          </cell>
          <cell r="K4496">
            <v>0</v>
          </cell>
        </row>
        <row r="4497">
          <cell r="A4497">
            <v>0</v>
          </cell>
          <cell r="K4497">
            <v>0</v>
          </cell>
        </row>
        <row r="4498">
          <cell r="A4498">
            <v>0</v>
          </cell>
          <cell r="K4498">
            <v>0</v>
          </cell>
        </row>
        <row r="4499">
          <cell r="A4499">
            <v>0</v>
          </cell>
          <cell r="K4499">
            <v>0</v>
          </cell>
        </row>
        <row r="4500">
          <cell r="A4500">
            <v>0</v>
          </cell>
          <cell r="K4500">
            <v>0</v>
          </cell>
        </row>
        <row r="4501">
          <cell r="A4501">
            <v>0</v>
          </cell>
          <cell r="K4501">
            <v>0</v>
          </cell>
        </row>
        <row r="4502">
          <cell r="A4502">
            <v>0</v>
          </cell>
          <cell r="K4502">
            <v>0</v>
          </cell>
        </row>
        <row r="4503">
          <cell r="A4503">
            <v>0</v>
          </cell>
          <cell r="K4503">
            <v>0</v>
          </cell>
        </row>
        <row r="4504">
          <cell r="A4504">
            <v>0</v>
          </cell>
          <cell r="K4504">
            <v>0</v>
          </cell>
        </row>
        <row r="4505">
          <cell r="A4505">
            <v>0</v>
          </cell>
          <cell r="K4505">
            <v>0</v>
          </cell>
        </row>
        <row r="4506">
          <cell r="A4506">
            <v>0</v>
          </cell>
          <cell r="K4506">
            <v>0</v>
          </cell>
        </row>
        <row r="4507">
          <cell r="A4507">
            <v>0</v>
          </cell>
          <cell r="K4507">
            <v>0</v>
          </cell>
        </row>
        <row r="4508">
          <cell r="A4508">
            <v>0</v>
          </cell>
          <cell r="K4508">
            <v>0</v>
          </cell>
        </row>
        <row r="4509">
          <cell r="A4509">
            <v>0</v>
          </cell>
          <cell r="K4509">
            <v>0</v>
          </cell>
        </row>
        <row r="4510">
          <cell r="A4510">
            <v>0</v>
          </cell>
          <cell r="K4510">
            <v>0</v>
          </cell>
        </row>
        <row r="4511">
          <cell r="A4511">
            <v>0</v>
          </cell>
          <cell r="K4511">
            <v>0</v>
          </cell>
        </row>
        <row r="4512">
          <cell r="A4512">
            <v>0</v>
          </cell>
          <cell r="K4512">
            <v>0</v>
          </cell>
        </row>
        <row r="4513">
          <cell r="A4513">
            <v>0</v>
          </cell>
          <cell r="K4513">
            <v>0</v>
          </cell>
        </row>
        <row r="4514">
          <cell r="A4514">
            <v>0</v>
          </cell>
          <cell r="K4514">
            <v>0</v>
          </cell>
        </row>
        <row r="4515">
          <cell r="A4515">
            <v>0</v>
          </cell>
          <cell r="K4515">
            <v>0</v>
          </cell>
        </row>
        <row r="4516">
          <cell r="A4516">
            <v>0</v>
          </cell>
          <cell r="K4516">
            <v>0</v>
          </cell>
        </row>
        <row r="4517">
          <cell r="A4517">
            <v>0</v>
          </cell>
          <cell r="K4517">
            <v>0</v>
          </cell>
        </row>
        <row r="4518">
          <cell r="A4518">
            <v>0</v>
          </cell>
          <cell r="K4518">
            <v>0</v>
          </cell>
        </row>
        <row r="4519">
          <cell r="A4519">
            <v>0</v>
          </cell>
          <cell r="K4519">
            <v>0</v>
          </cell>
        </row>
        <row r="4520">
          <cell r="A4520">
            <v>0</v>
          </cell>
          <cell r="K4520">
            <v>0</v>
          </cell>
        </row>
        <row r="4521">
          <cell r="A4521">
            <v>0</v>
          </cell>
          <cell r="K4521">
            <v>0</v>
          </cell>
        </row>
        <row r="4522">
          <cell r="A4522">
            <v>0</v>
          </cell>
          <cell r="K4522">
            <v>0</v>
          </cell>
        </row>
        <row r="4523">
          <cell r="A4523">
            <v>0</v>
          </cell>
          <cell r="K4523">
            <v>0</v>
          </cell>
        </row>
        <row r="4524">
          <cell r="A4524">
            <v>0</v>
          </cell>
          <cell r="K4524">
            <v>0</v>
          </cell>
        </row>
        <row r="4525">
          <cell r="A4525">
            <v>0</v>
          </cell>
          <cell r="K4525">
            <v>0</v>
          </cell>
        </row>
        <row r="4526">
          <cell r="A4526">
            <v>0</v>
          </cell>
          <cell r="K4526">
            <v>0</v>
          </cell>
        </row>
        <row r="4527">
          <cell r="A4527">
            <v>0</v>
          </cell>
          <cell r="K4527">
            <v>0</v>
          </cell>
        </row>
        <row r="4528">
          <cell r="A4528">
            <v>0</v>
          </cell>
          <cell r="K4528">
            <v>0</v>
          </cell>
        </row>
        <row r="4529">
          <cell r="A4529">
            <v>0</v>
          </cell>
          <cell r="K4529">
            <v>0</v>
          </cell>
        </row>
        <row r="4530">
          <cell r="A4530">
            <v>0</v>
          </cell>
          <cell r="K4530">
            <v>0</v>
          </cell>
        </row>
        <row r="4531">
          <cell r="A4531">
            <v>0</v>
          </cell>
          <cell r="K4531">
            <v>0</v>
          </cell>
        </row>
        <row r="4532">
          <cell r="A4532">
            <v>0</v>
          </cell>
          <cell r="K4532">
            <v>0</v>
          </cell>
        </row>
        <row r="4533">
          <cell r="A4533">
            <v>0</v>
          </cell>
          <cell r="K4533">
            <v>0</v>
          </cell>
        </row>
        <row r="4534">
          <cell r="A4534">
            <v>0</v>
          </cell>
          <cell r="K4534">
            <v>0</v>
          </cell>
        </row>
        <row r="4535">
          <cell r="A4535">
            <v>0</v>
          </cell>
          <cell r="K4535">
            <v>0</v>
          </cell>
        </row>
        <row r="4536">
          <cell r="A4536">
            <v>0</v>
          </cell>
          <cell r="K4536">
            <v>0</v>
          </cell>
        </row>
        <row r="4537">
          <cell r="A4537">
            <v>0</v>
          </cell>
          <cell r="K4537">
            <v>0</v>
          </cell>
        </row>
        <row r="4538">
          <cell r="A4538">
            <v>0</v>
          </cell>
          <cell r="K4538">
            <v>0</v>
          </cell>
        </row>
        <row r="4539">
          <cell r="A4539">
            <v>0</v>
          </cell>
          <cell r="K4539">
            <v>0</v>
          </cell>
        </row>
        <row r="4540">
          <cell r="A4540">
            <v>0</v>
          </cell>
          <cell r="K4540">
            <v>0</v>
          </cell>
        </row>
        <row r="4541">
          <cell r="A4541">
            <v>0</v>
          </cell>
          <cell r="K4541">
            <v>0</v>
          </cell>
        </row>
        <row r="4542">
          <cell r="A4542">
            <v>0</v>
          </cell>
          <cell r="K4542">
            <v>0</v>
          </cell>
        </row>
        <row r="4543">
          <cell r="A4543">
            <v>0</v>
          </cell>
          <cell r="K4543">
            <v>0</v>
          </cell>
        </row>
        <row r="4544">
          <cell r="A4544">
            <v>0</v>
          </cell>
          <cell r="K4544">
            <v>0</v>
          </cell>
        </row>
        <row r="4545">
          <cell r="A4545">
            <v>0</v>
          </cell>
          <cell r="K4545">
            <v>0</v>
          </cell>
        </row>
        <row r="4546">
          <cell r="A4546">
            <v>0</v>
          </cell>
          <cell r="K4546">
            <v>0</v>
          </cell>
        </row>
        <row r="4547">
          <cell r="A4547">
            <v>0</v>
          </cell>
          <cell r="K4547">
            <v>0</v>
          </cell>
        </row>
        <row r="4548">
          <cell r="A4548">
            <v>0</v>
          </cell>
          <cell r="K4548">
            <v>0</v>
          </cell>
        </row>
        <row r="4549">
          <cell r="A4549">
            <v>0</v>
          </cell>
          <cell r="K4549">
            <v>0</v>
          </cell>
        </row>
        <row r="4550">
          <cell r="A4550">
            <v>0</v>
          </cell>
          <cell r="K4550">
            <v>0</v>
          </cell>
        </row>
        <row r="4551">
          <cell r="A4551">
            <v>0</v>
          </cell>
          <cell r="K4551">
            <v>0</v>
          </cell>
        </row>
        <row r="4552">
          <cell r="A4552">
            <v>0</v>
          </cell>
          <cell r="K4552">
            <v>0</v>
          </cell>
        </row>
        <row r="4553">
          <cell r="A4553">
            <v>0</v>
          </cell>
          <cell r="K4553">
            <v>0</v>
          </cell>
        </row>
        <row r="4554">
          <cell r="A4554">
            <v>0</v>
          </cell>
          <cell r="K4554">
            <v>0</v>
          </cell>
        </row>
        <row r="4555">
          <cell r="A4555">
            <v>0</v>
          </cell>
          <cell r="K4555">
            <v>0</v>
          </cell>
        </row>
        <row r="4556">
          <cell r="A4556">
            <v>0</v>
          </cell>
          <cell r="K4556">
            <v>0</v>
          </cell>
        </row>
        <row r="4557">
          <cell r="A4557">
            <v>0</v>
          </cell>
          <cell r="K4557">
            <v>0</v>
          </cell>
        </row>
        <row r="4558">
          <cell r="A4558">
            <v>0</v>
          </cell>
          <cell r="K4558">
            <v>0</v>
          </cell>
        </row>
        <row r="4559">
          <cell r="A4559">
            <v>0</v>
          </cell>
          <cell r="K4559">
            <v>0</v>
          </cell>
        </row>
        <row r="4560">
          <cell r="A4560">
            <v>0</v>
          </cell>
          <cell r="K4560">
            <v>0</v>
          </cell>
        </row>
        <row r="4561">
          <cell r="A4561">
            <v>0</v>
          </cell>
          <cell r="K4561">
            <v>0</v>
          </cell>
        </row>
        <row r="4562">
          <cell r="A4562">
            <v>0</v>
          </cell>
          <cell r="K4562">
            <v>0</v>
          </cell>
        </row>
        <row r="4563">
          <cell r="A4563">
            <v>0</v>
          </cell>
          <cell r="K4563">
            <v>0</v>
          </cell>
        </row>
        <row r="4564">
          <cell r="A4564">
            <v>0</v>
          </cell>
          <cell r="K4564">
            <v>0</v>
          </cell>
        </row>
        <row r="4565">
          <cell r="A4565">
            <v>0</v>
          </cell>
          <cell r="K4565">
            <v>0</v>
          </cell>
        </row>
        <row r="4566">
          <cell r="A4566">
            <v>0</v>
          </cell>
          <cell r="K4566">
            <v>0</v>
          </cell>
        </row>
        <row r="4567">
          <cell r="A4567">
            <v>0</v>
          </cell>
          <cell r="K4567">
            <v>0</v>
          </cell>
        </row>
        <row r="4568">
          <cell r="A4568">
            <v>0</v>
          </cell>
          <cell r="K4568">
            <v>0</v>
          </cell>
        </row>
        <row r="4569">
          <cell r="A4569">
            <v>0</v>
          </cell>
          <cell r="K4569">
            <v>0</v>
          </cell>
        </row>
        <row r="4570">
          <cell r="A4570">
            <v>0</v>
          </cell>
          <cell r="K4570">
            <v>0</v>
          </cell>
        </row>
        <row r="4571">
          <cell r="A4571">
            <v>0</v>
          </cell>
          <cell r="K4571">
            <v>0</v>
          </cell>
        </row>
        <row r="4572">
          <cell r="A4572">
            <v>0</v>
          </cell>
          <cell r="K4572">
            <v>0</v>
          </cell>
        </row>
        <row r="4573">
          <cell r="A4573">
            <v>0</v>
          </cell>
          <cell r="K4573">
            <v>0</v>
          </cell>
        </row>
        <row r="4574">
          <cell r="A4574">
            <v>0</v>
          </cell>
          <cell r="K4574">
            <v>0</v>
          </cell>
        </row>
        <row r="4575">
          <cell r="A4575">
            <v>0</v>
          </cell>
          <cell r="K4575">
            <v>0</v>
          </cell>
        </row>
        <row r="4576">
          <cell r="A4576">
            <v>0</v>
          </cell>
          <cell r="K4576">
            <v>0</v>
          </cell>
        </row>
        <row r="4577">
          <cell r="A4577">
            <v>0</v>
          </cell>
          <cell r="K4577">
            <v>0</v>
          </cell>
        </row>
        <row r="4578">
          <cell r="A4578">
            <v>0</v>
          </cell>
          <cell r="K4578">
            <v>0</v>
          </cell>
        </row>
        <row r="4579">
          <cell r="A4579">
            <v>0</v>
          </cell>
          <cell r="K4579">
            <v>0</v>
          </cell>
        </row>
        <row r="4580">
          <cell r="A4580">
            <v>0</v>
          </cell>
          <cell r="K4580">
            <v>0</v>
          </cell>
        </row>
        <row r="4581">
          <cell r="A4581">
            <v>0</v>
          </cell>
          <cell r="K4581">
            <v>0</v>
          </cell>
        </row>
        <row r="4582">
          <cell r="A4582">
            <v>0</v>
          </cell>
          <cell r="K4582">
            <v>0</v>
          </cell>
        </row>
        <row r="4583">
          <cell r="A4583">
            <v>0</v>
          </cell>
          <cell r="K4583">
            <v>0</v>
          </cell>
        </row>
        <row r="4584">
          <cell r="A4584">
            <v>0</v>
          </cell>
          <cell r="K4584">
            <v>0</v>
          </cell>
        </row>
        <row r="4585">
          <cell r="A4585">
            <v>0</v>
          </cell>
          <cell r="K4585">
            <v>0</v>
          </cell>
        </row>
        <row r="4586">
          <cell r="A4586">
            <v>0</v>
          </cell>
          <cell r="K4586">
            <v>0</v>
          </cell>
        </row>
        <row r="4587">
          <cell r="A4587">
            <v>0</v>
          </cell>
          <cell r="K4587">
            <v>0</v>
          </cell>
        </row>
        <row r="4588">
          <cell r="A4588">
            <v>0</v>
          </cell>
          <cell r="K4588">
            <v>0</v>
          </cell>
        </row>
        <row r="4589">
          <cell r="A4589">
            <v>0</v>
          </cell>
          <cell r="K4589">
            <v>0</v>
          </cell>
        </row>
        <row r="4590">
          <cell r="A4590">
            <v>0</v>
          </cell>
          <cell r="K4590">
            <v>0</v>
          </cell>
        </row>
        <row r="4591">
          <cell r="A4591">
            <v>0</v>
          </cell>
          <cell r="K4591">
            <v>0</v>
          </cell>
        </row>
        <row r="4592">
          <cell r="A4592">
            <v>0</v>
          </cell>
          <cell r="K4592">
            <v>0</v>
          </cell>
        </row>
        <row r="4593">
          <cell r="A4593">
            <v>0</v>
          </cell>
          <cell r="K4593">
            <v>0</v>
          </cell>
        </row>
        <row r="4594">
          <cell r="A4594">
            <v>0</v>
          </cell>
          <cell r="K4594">
            <v>0</v>
          </cell>
        </row>
        <row r="4595">
          <cell r="A4595">
            <v>0</v>
          </cell>
          <cell r="K4595">
            <v>0</v>
          </cell>
        </row>
        <row r="4596">
          <cell r="A4596">
            <v>0</v>
          </cell>
          <cell r="K4596">
            <v>0</v>
          </cell>
        </row>
        <row r="4597">
          <cell r="A4597">
            <v>0</v>
          </cell>
          <cell r="K4597">
            <v>0</v>
          </cell>
        </row>
        <row r="4598">
          <cell r="A4598">
            <v>0</v>
          </cell>
          <cell r="K4598">
            <v>0</v>
          </cell>
        </row>
        <row r="4599">
          <cell r="A4599">
            <v>0</v>
          </cell>
          <cell r="K4599">
            <v>0</v>
          </cell>
        </row>
        <row r="4600">
          <cell r="A4600">
            <v>0</v>
          </cell>
          <cell r="K4600">
            <v>0</v>
          </cell>
        </row>
        <row r="4601">
          <cell r="A4601">
            <v>0</v>
          </cell>
          <cell r="K4601">
            <v>0</v>
          </cell>
        </row>
        <row r="4602">
          <cell r="A4602">
            <v>0</v>
          </cell>
          <cell r="K4602">
            <v>0</v>
          </cell>
        </row>
        <row r="4603">
          <cell r="A4603">
            <v>0</v>
          </cell>
          <cell r="K4603">
            <v>0</v>
          </cell>
        </row>
        <row r="4604">
          <cell r="A4604">
            <v>0</v>
          </cell>
          <cell r="K4604">
            <v>0</v>
          </cell>
        </row>
        <row r="4605">
          <cell r="A4605">
            <v>0</v>
          </cell>
          <cell r="K4605">
            <v>0</v>
          </cell>
        </row>
        <row r="4606">
          <cell r="A4606">
            <v>0</v>
          </cell>
          <cell r="K4606">
            <v>0</v>
          </cell>
        </row>
        <row r="4607">
          <cell r="A4607">
            <v>0</v>
          </cell>
          <cell r="K4607">
            <v>0</v>
          </cell>
        </row>
        <row r="4608">
          <cell r="A4608">
            <v>0</v>
          </cell>
          <cell r="K4608">
            <v>0</v>
          </cell>
        </row>
        <row r="4609">
          <cell r="A4609">
            <v>0</v>
          </cell>
          <cell r="K4609">
            <v>0</v>
          </cell>
        </row>
        <row r="4610">
          <cell r="A4610">
            <v>0</v>
          </cell>
          <cell r="K4610">
            <v>0</v>
          </cell>
        </row>
        <row r="4611">
          <cell r="A4611">
            <v>0</v>
          </cell>
          <cell r="K4611">
            <v>0</v>
          </cell>
        </row>
        <row r="4612">
          <cell r="A4612">
            <v>0</v>
          </cell>
          <cell r="K4612">
            <v>0</v>
          </cell>
        </row>
        <row r="4613">
          <cell r="A4613">
            <v>0</v>
          </cell>
          <cell r="K4613">
            <v>0</v>
          </cell>
        </row>
        <row r="4614">
          <cell r="A4614">
            <v>0</v>
          </cell>
          <cell r="K4614">
            <v>0</v>
          </cell>
        </row>
        <row r="4615">
          <cell r="A4615">
            <v>0</v>
          </cell>
          <cell r="K4615">
            <v>0</v>
          </cell>
        </row>
        <row r="4616">
          <cell r="A4616">
            <v>0</v>
          </cell>
          <cell r="K4616">
            <v>0</v>
          </cell>
        </row>
        <row r="4617">
          <cell r="A4617">
            <v>0</v>
          </cell>
          <cell r="K4617">
            <v>0</v>
          </cell>
        </row>
        <row r="4618">
          <cell r="A4618">
            <v>0</v>
          </cell>
          <cell r="K4618">
            <v>0</v>
          </cell>
        </row>
        <row r="4619">
          <cell r="A4619">
            <v>0</v>
          </cell>
          <cell r="K4619">
            <v>0</v>
          </cell>
        </row>
        <row r="4620">
          <cell r="A4620">
            <v>0</v>
          </cell>
          <cell r="K4620">
            <v>0</v>
          </cell>
        </row>
        <row r="4621">
          <cell r="A4621">
            <v>0</v>
          </cell>
          <cell r="K4621">
            <v>0</v>
          </cell>
        </row>
        <row r="4622">
          <cell r="A4622">
            <v>0</v>
          </cell>
          <cell r="K4622">
            <v>0</v>
          </cell>
        </row>
        <row r="4623">
          <cell r="A4623">
            <v>0</v>
          </cell>
          <cell r="K4623">
            <v>0</v>
          </cell>
        </row>
        <row r="4624">
          <cell r="A4624">
            <v>0</v>
          </cell>
          <cell r="K4624">
            <v>0</v>
          </cell>
        </row>
        <row r="4625">
          <cell r="A4625">
            <v>0</v>
          </cell>
          <cell r="K4625">
            <v>0</v>
          </cell>
        </row>
        <row r="4626">
          <cell r="A4626">
            <v>0</v>
          </cell>
          <cell r="K4626">
            <v>0</v>
          </cell>
        </row>
        <row r="4627">
          <cell r="A4627">
            <v>0</v>
          </cell>
          <cell r="K4627">
            <v>0</v>
          </cell>
        </row>
        <row r="4628">
          <cell r="A4628">
            <v>0</v>
          </cell>
          <cell r="K4628">
            <v>0</v>
          </cell>
        </row>
        <row r="4629">
          <cell r="A4629">
            <v>0</v>
          </cell>
          <cell r="K4629">
            <v>0</v>
          </cell>
        </row>
        <row r="4630">
          <cell r="A4630">
            <v>0</v>
          </cell>
          <cell r="K4630">
            <v>0</v>
          </cell>
        </row>
        <row r="4631">
          <cell r="A4631">
            <v>0</v>
          </cell>
          <cell r="K4631">
            <v>0</v>
          </cell>
        </row>
        <row r="4632">
          <cell r="A4632">
            <v>0</v>
          </cell>
          <cell r="K4632">
            <v>0</v>
          </cell>
        </row>
        <row r="4633">
          <cell r="A4633">
            <v>0</v>
          </cell>
          <cell r="K4633">
            <v>0</v>
          </cell>
        </row>
        <row r="4634">
          <cell r="A4634">
            <v>0</v>
          </cell>
          <cell r="K4634">
            <v>0</v>
          </cell>
        </row>
        <row r="4635">
          <cell r="A4635">
            <v>0</v>
          </cell>
          <cell r="K4635">
            <v>0</v>
          </cell>
        </row>
        <row r="4636">
          <cell r="A4636">
            <v>0</v>
          </cell>
          <cell r="K4636">
            <v>0</v>
          </cell>
        </row>
        <row r="4637">
          <cell r="A4637">
            <v>0</v>
          </cell>
          <cell r="K4637">
            <v>0</v>
          </cell>
        </row>
        <row r="4638">
          <cell r="A4638">
            <v>0</v>
          </cell>
          <cell r="K4638">
            <v>0</v>
          </cell>
        </row>
        <row r="4639">
          <cell r="A4639">
            <v>0</v>
          </cell>
          <cell r="K4639">
            <v>0</v>
          </cell>
        </row>
        <row r="4640">
          <cell r="A4640">
            <v>0</v>
          </cell>
          <cell r="K4640">
            <v>0</v>
          </cell>
        </row>
        <row r="4641">
          <cell r="A4641">
            <v>0</v>
          </cell>
          <cell r="K4641">
            <v>0</v>
          </cell>
        </row>
        <row r="4642">
          <cell r="A4642">
            <v>0</v>
          </cell>
          <cell r="K4642">
            <v>0</v>
          </cell>
        </row>
        <row r="4643">
          <cell r="A4643">
            <v>0</v>
          </cell>
          <cell r="K4643">
            <v>0</v>
          </cell>
        </row>
        <row r="4644">
          <cell r="A4644">
            <v>0</v>
          </cell>
          <cell r="K4644">
            <v>0</v>
          </cell>
        </row>
        <row r="4645">
          <cell r="A4645">
            <v>0</v>
          </cell>
          <cell r="K4645">
            <v>0</v>
          </cell>
        </row>
        <row r="4646">
          <cell r="A4646">
            <v>0</v>
          </cell>
          <cell r="K4646">
            <v>0</v>
          </cell>
        </row>
        <row r="4647">
          <cell r="A4647">
            <v>0</v>
          </cell>
          <cell r="K4647">
            <v>0</v>
          </cell>
        </row>
        <row r="4648">
          <cell r="A4648">
            <v>0</v>
          </cell>
          <cell r="K4648">
            <v>0</v>
          </cell>
        </row>
        <row r="4649">
          <cell r="A4649">
            <v>0</v>
          </cell>
          <cell r="K4649">
            <v>0</v>
          </cell>
        </row>
        <row r="4650">
          <cell r="A4650">
            <v>0</v>
          </cell>
          <cell r="K4650">
            <v>0</v>
          </cell>
        </row>
        <row r="4651">
          <cell r="A4651">
            <v>0</v>
          </cell>
          <cell r="K4651">
            <v>0</v>
          </cell>
        </row>
        <row r="4652">
          <cell r="A4652">
            <v>0</v>
          </cell>
          <cell r="K4652">
            <v>0</v>
          </cell>
        </row>
        <row r="4653">
          <cell r="A4653">
            <v>0</v>
          </cell>
          <cell r="K4653">
            <v>0</v>
          </cell>
        </row>
        <row r="4654">
          <cell r="A4654">
            <v>0</v>
          </cell>
          <cell r="K4654">
            <v>0</v>
          </cell>
        </row>
        <row r="4655">
          <cell r="A4655">
            <v>0</v>
          </cell>
          <cell r="K4655">
            <v>0</v>
          </cell>
        </row>
        <row r="4656">
          <cell r="A4656">
            <v>0</v>
          </cell>
          <cell r="K4656">
            <v>0</v>
          </cell>
        </row>
        <row r="4657">
          <cell r="A4657">
            <v>0</v>
          </cell>
          <cell r="K4657">
            <v>0</v>
          </cell>
        </row>
        <row r="4658">
          <cell r="A4658">
            <v>0</v>
          </cell>
          <cell r="K4658">
            <v>0</v>
          </cell>
        </row>
        <row r="4659">
          <cell r="A4659">
            <v>0</v>
          </cell>
          <cell r="K4659">
            <v>0</v>
          </cell>
        </row>
        <row r="4660">
          <cell r="A4660">
            <v>0</v>
          </cell>
          <cell r="K4660">
            <v>0</v>
          </cell>
        </row>
        <row r="4661">
          <cell r="A4661">
            <v>0</v>
          </cell>
          <cell r="K4661">
            <v>0</v>
          </cell>
        </row>
        <row r="4662">
          <cell r="A4662">
            <v>0</v>
          </cell>
          <cell r="K4662">
            <v>0</v>
          </cell>
        </row>
        <row r="4663">
          <cell r="A4663">
            <v>0</v>
          </cell>
          <cell r="K4663">
            <v>0</v>
          </cell>
        </row>
        <row r="4664">
          <cell r="A4664">
            <v>0</v>
          </cell>
          <cell r="K4664">
            <v>0</v>
          </cell>
        </row>
        <row r="4665">
          <cell r="A4665">
            <v>0</v>
          </cell>
          <cell r="K4665">
            <v>0</v>
          </cell>
        </row>
        <row r="4666">
          <cell r="A4666">
            <v>0</v>
          </cell>
          <cell r="K4666">
            <v>0</v>
          </cell>
        </row>
        <row r="4667">
          <cell r="A4667">
            <v>0</v>
          </cell>
          <cell r="K4667">
            <v>0</v>
          </cell>
        </row>
        <row r="4668">
          <cell r="A4668">
            <v>0</v>
          </cell>
          <cell r="K4668">
            <v>0</v>
          </cell>
        </row>
        <row r="4669">
          <cell r="A4669">
            <v>0</v>
          </cell>
          <cell r="K4669">
            <v>0</v>
          </cell>
        </row>
        <row r="4670">
          <cell r="A4670">
            <v>0</v>
          </cell>
          <cell r="K4670">
            <v>0</v>
          </cell>
        </row>
        <row r="4671">
          <cell r="A4671">
            <v>0</v>
          </cell>
          <cell r="K4671">
            <v>0</v>
          </cell>
        </row>
        <row r="4672">
          <cell r="A4672">
            <v>0</v>
          </cell>
          <cell r="K4672">
            <v>0</v>
          </cell>
        </row>
        <row r="4673">
          <cell r="A4673">
            <v>0</v>
          </cell>
          <cell r="K4673">
            <v>0</v>
          </cell>
        </row>
        <row r="4674">
          <cell r="A4674">
            <v>0</v>
          </cell>
          <cell r="K4674">
            <v>0</v>
          </cell>
        </row>
        <row r="4675">
          <cell r="A4675">
            <v>0</v>
          </cell>
          <cell r="K4675">
            <v>0</v>
          </cell>
        </row>
        <row r="4676">
          <cell r="A4676">
            <v>0</v>
          </cell>
          <cell r="K4676">
            <v>0</v>
          </cell>
        </row>
        <row r="4677">
          <cell r="A4677">
            <v>0</v>
          </cell>
          <cell r="K4677">
            <v>0</v>
          </cell>
        </row>
        <row r="4678">
          <cell r="A4678">
            <v>0</v>
          </cell>
          <cell r="K4678">
            <v>0</v>
          </cell>
        </row>
        <row r="4679">
          <cell r="A4679">
            <v>0</v>
          </cell>
          <cell r="K4679">
            <v>0</v>
          </cell>
        </row>
        <row r="4680">
          <cell r="A4680">
            <v>0</v>
          </cell>
          <cell r="K4680">
            <v>0</v>
          </cell>
        </row>
        <row r="4681">
          <cell r="A4681">
            <v>0</v>
          </cell>
          <cell r="K4681">
            <v>0</v>
          </cell>
        </row>
        <row r="4682">
          <cell r="A4682">
            <v>0</v>
          </cell>
          <cell r="K4682">
            <v>0</v>
          </cell>
        </row>
        <row r="4683">
          <cell r="A4683">
            <v>0</v>
          </cell>
          <cell r="K4683">
            <v>0</v>
          </cell>
        </row>
        <row r="4684">
          <cell r="A4684">
            <v>0</v>
          </cell>
          <cell r="K4684">
            <v>0</v>
          </cell>
        </row>
        <row r="4685">
          <cell r="A4685">
            <v>0</v>
          </cell>
          <cell r="K4685">
            <v>0</v>
          </cell>
        </row>
        <row r="4686">
          <cell r="A4686">
            <v>0</v>
          </cell>
          <cell r="K4686">
            <v>0</v>
          </cell>
        </row>
        <row r="4687">
          <cell r="A4687">
            <v>0</v>
          </cell>
          <cell r="K4687">
            <v>0</v>
          </cell>
        </row>
        <row r="4688">
          <cell r="A4688">
            <v>0</v>
          </cell>
          <cell r="K4688">
            <v>0</v>
          </cell>
        </row>
        <row r="4689">
          <cell r="A4689">
            <v>0</v>
          </cell>
          <cell r="K4689">
            <v>0</v>
          </cell>
        </row>
        <row r="4690">
          <cell r="A4690">
            <v>0</v>
          </cell>
          <cell r="K4690">
            <v>0</v>
          </cell>
        </row>
        <row r="4691">
          <cell r="A4691">
            <v>0</v>
          </cell>
          <cell r="K4691">
            <v>0</v>
          </cell>
        </row>
        <row r="4692">
          <cell r="A4692">
            <v>0</v>
          </cell>
          <cell r="K4692">
            <v>0</v>
          </cell>
        </row>
        <row r="4693">
          <cell r="A4693">
            <v>0</v>
          </cell>
          <cell r="K4693">
            <v>0</v>
          </cell>
        </row>
        <row r="4694">
          <cell r="A4694">
            <v>0</v>
          </cell>
          <cell r="K4694">
            <v>0</v>
          </cell>
        </row>
        <row r="4695">
          <cell r="A4695">
            <v>0</v>
          </cell>
          <cell r="K4695">
            <v>0</v>
          </cell>
        </row>
        <row r="4696">
          <cell r="A4696">
            <v>0</v>
          </cell>
          <cell r="K4696">
            <v>0</v>
          </cell>
        </row>
        <row r="4697">
          <cell r="A4697">
            <v>0</v>
          </cell>
          <cell r="K4697">
            <v>0</v>
          </cell>
        </row>
        <row r="4698">
          <cell r="A4698">
            <v>0</v>
          </cell>
          <cell r="K4698">
            <v>0</v>
          </cell>
        </row>
        <row r="4699">
          <cell r="A4699">
            <v>0</v>
          </cell>
          <cell r="K4699">
            <v>0</v>
          </cell>
        </row>
        <row r="4700">
          <cell r="A4700">
            <v>0</v>
          </cell>
          <cell r="K4700">
            <v>0</v>
          </cell>
        </row>
        <row r="4701">
          <cell r="A4701">
            <v>0</v>
          </cell>
          <cell r="K4701">
            <v>0</v>
          </cell>
        </row>
        <row r="4702">
          <cell r="A4702">
            <v>0</v>
          </cell>
          <cell r="K4702">
            <v>0</v>
          </cell>
        </row>
        <row r="4703">
          <cell r="A4703">
            <v>0</v>
          </cell>
          <cell r="K4703">
            <v>0</v>
          </cell>
        </row>
        <row r="4704">
          <cell r="A4704">
            <v>0</v>
          </cell>
          <cell r="K4704">
            <v>0</v>
          </cell>
        </row>
        <row r="4705">
          <cell r="A4705">
            <v>0</v>
          </cell>
          <cell r="K4705">
            <v>0</v>
          </cell>
        </row>
        <row r="4706">
          <cell r="A4706">
            <v>0</v>
          </cell>
          <cell r="K4706">
            <v>0</v>
          </cell>
        </row>
        <row r="4707">
          <cell r="A4707">
            <v>0</v>
          </cell>
          <cell r="K4707">
            <v>0</v>
          </cell>
        </row>
        <row r="4708">
          <cell r="A4708">
            <v>0</v>
          </cell>
          <cell r="K4708">
            <v>0</v>
          </cell>
        </row>
        <row r="4709">
          <cell r="A4709">
            <v>0</v>
          </cell>
          <cell r="K4709">
            <v>0</v>
          </cell>
        </row>
        <row r="4710">
          <cell r="A4710">
            <v>0</v>
          </cell>
          <cell r="K4710">
            <v>0</v>
          </cell>
        </row>
        <row r="4711">
          <cell r="A4711">
            <v>0</v>
          </cell>
          <cell r="K4711">
            <v>0</v>
          </cell>
        </row>
        <row r="4712">
          <cell r="A4712">
            <v>0</v>
          </cell>
          <cell r="K4712">
            <v>0</v>
          </cell>
        </row>
        <row r="4713">
          <cell r="A4713">
            <v>0</v>
          </cell>
          <cell r="K4713">
            <v>0</v>
          </cell>
        </row>
        <row r="4714">
          <cell r="A4714">
            <v>0</v>
          </cell>
          <cell r="K4714">
            <v>0</v>
          </cell>
        </row>
        <row r="4715">
          <cell r="A4715">
            <v>0</v>
          </cell>
          <cell r="K4715">
            <v>0</v>
          </cell>
        </row>
        <row r="4716">
          <cell r="A4716">
            <v>0</v>
          </cell>
          <cell r="K4716">
            <v>0</v>
          </cell>
        </row>
        <row r="4717">
          <cell r="A4717">
            <v>0</v>
          </cell>
          <cell r="K4717">
            <v>0</v>
          </cell>
        </row>
        <row r="4718">
          <cell r="A4718">
            <v>0</v>
          </cell>
          <cell r="K4718">
            <v>0</v>
          </cell>
        </row>
        <row r="4719">
          <cell r="A4719">
            <v>0</v>
          </cell>
          <cell r="K4719">
            <v>0</v>
          </cell>
        </row>
        <row r="4720">
          <cell r="A4720">
            <v>0</v>
          </cell>
          <cell r="K4720">
            <v>0</v>
          </cell>
        </row>
        <row r="4721">
          <cell r="A4721">
            <v>0</v>
          </cell>
          <cell r="K4721">
            <v>0</v>
          </cell>
        </row>
        <row r="4722">
          <cell r="A4722">
            <v>0</v>
          </cell>
          <cell r="K4722">
            <v>0</v>
          </cell>
        </row>
        <row r="4723">
          <cell r="A4723">
            <v>0</v>
          </cell>
          <cell r="K4723">
            <v>0</v>
          </cell>
        </row>
        <row r="4724">
          <cell r="A4724">
            <v>0</v>
          </cell>
          <cell r="K4724">
            <v>0</v>
          </cell>
        </row>
        <row r="4725">
          <cell r="A4725">
            <v>0</v>
          </cell>
          <cell r="K4725">
            <v>0</v>
          </cell>
        </row>
        <row r="4726">
          <cell r="A4726">
            <v>0</v>
          </cell>
          <cell r="K4726">
            <v>0</v>
          </cell>
        </row>
        <row r="4727">
          <cell r="A4727">
            <v>0</v>
          </cell>
          <cell r="K4727">
            <v>0</v>
          </cell>
        </row>
        <row r="4728">
          <cell r="A4728">
            <v>0</v>
          </cell>
          <cell r="K4728">
            <v>0</v>
          </cell>
        </row>
        <row r="4729">
          <cell r="A4729">
            <v>0</v>
          </cell>
          <cell r="K4729">
            <v>0</v>
          </cell>
        </row>
        <row r="4730">
          <cell r="A4730">
            <v>0</v>
          </cell>
          <cell r="K4730">
            <v>0</v>
          </cell>
        </row>
        <row r="4731">
          <cell r="A4731">
            <v>0</v>
          </cell>
          <cell r="K4731">
            <v>0</v>
          </cell>
        </row>
        <row r="4732">
          <cell r="A4732">
            <v>0</v>
          </cell>
          <cell r="K4732">
            <v>0</v>
          </cell>
        </row>
        <row r="4733">
          <cell r="A4733">
            <v>0</v>
          </cell>
          <cell r="K4733">
            <v>0</v>
          </cell>
        </row>
        <row r="4734">
          <cell r="A4734">
            <v>0</v>
          </cell>
          <cell r="K4734">
            <v>0</v>
          </cell>
        </row>
        <row r="4735">
          <cell r="A4735">
            <v>0</v>
          </cell>
          <cell r="K4735">
            <v>0</v>
          </cell>
        </row>
        <row r="4736">
          <cell r="A4736">
            <v>0</v>
          </cell>
          <cell r="K4736">
            <v>0</v>
          </cell>
        </row>
        <row r="4737">
          <cell r="A4737">
            <v>0</v>
          </cell>
          <cell r="K4737">
            <v>0</v>
          </cell>
        </row>
        <row r="4738">
          <cell r="A4738">
            <v>0</v>
          </cell>
          <cell r="K4738">
            <v>0</v>
          </cell>
        </row>
        <row r="4739">
          <cell r="A4739">
            <v>0</v>
          </cell>
          <cell r="K4739">
            <v>0</v>
          </cell>
        </row>
        <row r="4740">
          <cell r="A4740">
            <v>0</v>
          </cell>
          <cell r="K4740">
            <v>0</v>
          </cell>
        </row>
        <row r="4741">
          <cell r="A4741">
            <v>0</v>
          </cell>
          <cell r="K4741">
            <v>0</v>
          </cell>
        </row>
        <row r="4742">
          <cell r="A4742">
            <v>0</v>
          </cell>
          <cell r="K4742">
            <v>0</v>
          </cell>
        </row>
        <row r="4743">
          <cell r="A4743">
            <v>0</v>
          </cell>
          <cell r="K4743">
            <v>0</v>
          </cell>
        </row>
        <row r="4744">
          <cell r="A4744">
            <v>0</v>
          </cell>
          <cell r="K4744">
            <v>0</v>
          </cell>
        </row>
        <row r="4745">
          <cell r="A4745">
            <v>0</v>
          </cell>
          <cell r="K4745">
            <v>0</v>
          </cell>
        </row>
        <row r="4746">
          <cell r="A4746">
            <v>0</v>
          </cell>
          <cell r="K4746">
            <v>0</v>
          </cell>
        </row>
        <row r="4747">
          <cell r="A4747">
            <v>0</v>
          </cell>
          <cell r="K4747">
            <v>0</v>
          </cell>
        </row>
        <row r="4748">
          <cell r="A4748">
            <v>0</v>
          </cell>
          <cell r="K4748">
            <v>0</v>
          </cell>
        </row>
        <row r="4749">
          <cell r="A4749">
            <v>0</v>
          </cell>
          <cell r="K4749">
            <v>0</v>
          </cell>
        </row>
        <row r="4750">
          <cell r="A4750">
            <v>0</v>
          </cell>
          <cell r="K4750">
            <v>0</v>
          </cell>
        </row>
        <row r="4751">
          <cell r="A4751">
            <v>0</v>
          </cell>
          <cell r="K4751">
            <v>0</v>
          </cell>
        </row>
        <row r="4752">
          <cell r="A4752">
            <v>0</v>
          </cell>
          <cell r="K4752">
            <v>0</v>
          </cell>
        </row>
        <row r="4753">
          <cell r="A4753">
            <v>0</v>
          </cell>
          <cell r="K4753">
            <v>0</v>
          </cell>
        </row>
        <row r="4754">
          <cell r="A4754">
            <v>0</v>
          </cell>
          <cell r="K4754">
            <v>0</v>
          </cell>
        </row>
        <row r="4755">
          <cell r="A4755">
            <v>0</v>
          </cell>
          <cell r="K4755">
            <v>0</v>
          </cell>
        </row>
        <row r="4756">
          <cell r="A4756">
            <v>0</v>
          </cell>
          <cell r="K4756">
            <v>0</v>
          </cell>
        </row>
        <row r="4757">
          <cell r="A4757">
            <v>0</v>
          </cell>
          <cell r="K4757">
            <v>0</v>
          </cell>
        </row>
        <row r="4758">
          <cell r="A4758">
            <v>0</v>
          </cell>
          <cell r="K4758">
            <v>0</v>
          </cell>
        </row>
        <row r="4759">
          <cell r="A4759">
            <v>0</v>
          </cell>
          <cell r="K4759">
            <v>0</v>
          </cell>
        </row>
        <row r="4760">
          <cell r="A4760">
            <v>0</v>
          </cell>
          <cell r="K4760">
            <v>0</v>
          </cell>
        </row>
        <row r="4761">
          <cell r="A4761">
            <v>0</v>
          </cell>
          <cell r="K4761">
            <v>0</v>
          </cell>
        </row>
        <row r="4762">
          <cell r="A4762">
            <v>0</v>
          </cell>
          <cell r="K4762">
            <v>0</v>
          </cell>
        </row>
        <row r="4763">
          <cell r="A4763">
            <v>0</v>
          </cell>
          <cell r="K4763">
            <v>0</v>
          </cell>
        </row>
        <row r="4764">
          <cell r="A4764">
            <v>0</v>
          </cell>
          <cell r="K4764">
            <v>0</v>
          </cell>
        </row>
        <row r="4765">
          <cell r="A4765">
            <v>0</v>
          </cell>
          <cell r="K4765">
            <v>0</v>
          </cell>
        </row>
        <row r="4766">
          <cell r="A4766">
            <v>0</v>
          </cell>
          <cell r="K4766">
            <v>0</v>
          </cell>
        </row>
        <row r="4767">
          <cell r="A4767">
            <v>0</v>
          </cell>
          <cell r="K4767">
            <v>0</v>
          </cell>
        </row>
        <row r="4768">
          <cell r="A4768">
            <v>0</v>
          </cell>
          <cell r="K4768">
            <v>0</v>
          </cell>
        </row>
        <row r="4769">
          <cell r="A4769">
            <v>0</v>
          </cell>
          <cell r="K4769">
            <v>0</v>
          </cell>
        </row>
        <row r="4770">
          <cell r="A4770">
            <v>0</v>
          </cell>
          <cell r="K4770">
            <v>0</v>
          </cell>
        </row>
        <row r="4771">
          <cell r="A4771">
            <v>0</v>
          </cell>
          <cell r="K4771">
            <v>0</v>
          </cell>
        </row>
        <row r="4772">
          <cell r="A4772">
            <v>0</v>
          </cell>
          <cell r="K4772">
            <v>0</v>
          </cell>
        </row>
        <row r="4773">
          <cell r="A4773">
            <v>0</v>
          </cell>
          <cell r="K4773">
            <v>0</v>
          </cell>
        </row>
        <row r="4774">
          <cell r="A4774">
            <v>0</v>
          </cell>
          <cell r="K4774">
            <v>0</v>
          </cell>
        </row>
        <row r="4775">
          <cell r="A4775">
            <v>0</v>
          </cell>
          <cell r="K4775">
            <v>0</v>
          </cell>
        </row>
        <row r="4776">
          <cell r="A4776">
            <v>0</v>
          </cell>
          <cell r="K4776">
            <v>0</v>
          </cell>
        </row>
        <row r="4777">
          <cell r="A4777">
            <v>0</v>
          </cell>
          <cell r="K4777">
            <v>0</v>
          </cell>
        </row>
        <row r="4778">
          <cell r="A4778">
            <v>0</v>
          </cell>
          <cell r="K4778">
            <v>0</v>
          </cell>
        </row>
        <row r="4779">
          <cell r="A4779">
            <v>0</v>
          </cell>
          <cell r="K4779">
            <v>0</v>
          </cell>
        </row>
        <row r="4780">
          <cell r="A4780">
            <v>0</v>
          </cell>
          <cell r="K4780">
            <v>0</v>
          </cell>
        </row>
        <row r="4781">
          <cell r="A4781">
            <v>0</v>
          </cell>
          <cell r="K4781">
            <v>0</v>
          </cell>
        </row>
        <row r="4782">
          <cell r="A4782">
            <v>0</v>
          </cell>
          <cell r="K4782">
            <v>0</v>
          </cell>
        </row>
        <row r="4783">
          <cell r="A4783">
            <v>0</v>
          </cell>
          <cell r="K4783">
            <v>0</v>
          </cell>
        </row>
        <row r="4784">
          <cell r="A4784">
            <v>0</v>
          </cell>
          <cell r="K4784">
            <v>0</v>
          </cell>
        </row>
        <row r="4785">
          <cell r="A4785">
            <v>0</v>
          </cell>
          <cell r="K4785">
            <v>0</v>
          </cell>
        </row>
        <row r="4786">
          <cell r="A4786">
            <v>0</v>
          </cell>
          <cell r="K4786">
            <v>0</v>
          </cell>
        </row>
        <row r="4787">
          <cell r="A4787">
            <v>0</v>
          </cell>
          <cell r="K4787">
            <v>0</v>
          </cell>
        </row>
        <row r="4788">
          <cell r="A4788">
            <v>0</v>
          </cell>
          <cell r="K4788">
            <v>0</v>
          </cell>
        </row>
        <row r="4789">
          <cell r="A4789">
            <v>0</v>
          </cell>
          <cell r="K4789">
            <v>0</v>
          </cell>
        </row>
        <row r="4790">
          <cell r="A4790">
            <v>0</v>
          </cell>
          <cell r="K4790">
            <v>0</v>
          </cell>
        </row>
        <row r="4791">
          <cell r="A4791">
            <v>0</v>
          </cell>
          <cell r="K4791">
            <v>0</v>
          </cell>
        </row>
        <row r="4792">
          <cell r="A4792">
            <v>0</v>
          </cell>
          <cell r="K4792">
            <v>0</v>
          </cell>
        </row>
        <row r="4793">
          <cell r="A4793">
            <v>0</v>
          </cell>
          <cell r="K4793">
            <v>0</v>
          </cell>
        </row>
        <row r="4794">
          <cell r="A4794">
            <v>0</v>
          </cell>
          <cell r="K4794">
            <v>0</v>
          </cell>
        </row>
        <row r="4795">
          <cell r="A4795">
            <v>0</v>
          </cell>
          <cell r="K4795">
            <v>0</v>
          </cell>
        </row>
        <row r="4796">
          <cell r="A4796">
            <v>0</v>
          </cell>
          <cell r="K4796">
            <v>0</v>
          </cell>
        </row>
        <row r="4797">
          <cell r="A4797">
            <v>0</v>
          </cell>
          <cell r="K4797">
            <v>0</v>
          </cell>
        </row>
        <row r="4798">
          <cell r="A4798">
            <v>0</v>
          </cell>
          <cell r="K4798">
            <v>0</v>
          </cell>
        </row>
        <row r="4799">
          <cell r="A4799">
            <v>0</v>
          </cell>
          <cell r="K4799">
            <v>0</v>
          </cell>
        </row>
        <row r="4800">
          <cell r="A4800">
            <v>0</v>
          </cell>
          <cell r="K4800">
            <v>0</v>
          </cell>
        </row>
        <row r="4801">
          <cell r="A4801">
            <v>0</v>
          </cell>
          <cell r="K4801">
            <v>0</v>
          </cell>
        </row>
        <row r="4802">
          <cell r="A4802">
            <v>0</v>
          </cell>
          <cell r="K4802">
            <v>0</v>
          </cell>
        </row>
        <row r="4803">
          <cell r="A4803">
            <v>0</v>
          </cell>
          <cell r="K4803">
            <v>0</v>
          </cell>
        </row>
        <row r="4804">
          <cell r="A4804">
            <v>0</v>
          </cell>
          <cell r="K4804">
            <v>0</v>
          </cell>
        </row>
        <row r="4805">
          <cell r="A4805">
            <v>0</v>
          </cell>
          <cell r="K4805">
            <v>0</v>
          </cell>
        </row>
        <row r="4806">
          <cell r="A4806">
            <v>0</v>
          </cell>
          <cell r="K4806">
            <v>0</v>
          </cell>
        </row>
        <row r="4807">
          <cell r="A4807">
            <v>0</v>
          </cell>
          <cell r="K4807">
            <v>0</v>
          </cell>
        </row>
        <row r="4808">
          <cell r="A4808">
            <v>0</v>
          </cell>
          <cell r="K4808">
            <v>0</v>
          </cell>
        </row>
        <row r="4809">
          <cell r="A4809">
            <v>0</v>
          </cell>
          <cell r="K4809">
            <v>0</v>
          </cell>
        </row>
        <row r="4810">
          <cell r="A4810">
            <v>0</v>
          </cell>
          <cell r="K4810">
            <v>0</v>
          </cell>
        </row>
        <row r="4811">
          <cell r="A4811">
            <v>0</v>
          </cell>
          <cell r="K4811">
            <v>0</v>
          </cell>
        </row>
        <row r="4812">
          <cell r="A4812">
            <v>0</v>
          </cell>
          <cell r="K4812">
            <v>0</v>
          </cell>
        </row>
        <row r="4813">
          <cell r="A4813">
            <v>0</v>
          </cell>
          <cell r="K4813">
            <v>0</v>
          </cell>
        </row>
        <row r="4814">
          <cell r="A4814">
            <v>0</v>
          </cell>
          <cell r="K4814">
            <v>0</v>
          </cell>
        </row>
        <row r="4815">
          <cell r="A4815">
            <v>0</v>
          </cell>
          <cell r="K4815">
            <v>0</v>
          </cell>
        </row>
        <row r="4816">
          <cell r="A4816">
            <v>0</v>
          </cell>
          <cell r="K4816">
            <v>0</v>
          </cell>
        </row>
        <row r="4817">
          <cell r="A4817">
            <v>0</v>
          </cell>
          <cell r="K4817">
            <v>0</v>
          </cell>
        </row>
        <row r="4818">
          <cell r="A4818">
            <v>0</v>
          </cell>
          <cell r="K4818">
            <v>0</v>
          </cell>
        </row>
        <row r="4819">
          <cell r="A4819">
            <v>0</v>
          </cell>
          <cell r="K4819">
            <v>0</v>
          </cell>
        </row>
        <row r="4820">
          <cell r="A4820">
            <v>0</v>
          </cell>
          <cell r="K4820">
            <v>0</v>
          </cell>
        </row>
        <row r="4821">
          <cell r="A4821">
            <v>0</v>
          </cell>
          <cell r="K4821">
            <v>0</v>
          </cell>
        </row>
        <row r="4822">
          <cell r="A4822">
            <v>0</v>
          </cell>
          <cell r="K4822">
            <v>0</v>
          </cell>
        </row>
        <row r="4823">
          <cell r="A4823">
            <v>0</v>
          </cell>
          <cell r="K4823">
            <v>0</v>
          </cell>
        </row>
        <row r="4824">
          <cell r="A4824">
            <v>0</v>
          </cell>
          <cell r="K4824">
            <v>0</v>
          </cell>
        </row>
        <row r="4825">
          <cell r="A4825">
            <v>0</v>
          </cell>
          <cell r="K4825">
            <v>0</v>
          </cell>
        </row>
        <row r="4826">
          <cell r="A4826">
            <v>0</v>
          </cell>
          <cell r="K4826">
            <v>0</v>
          </cell>
        </row>
        <row r="4827">
          <cell r="A4827">
            <v>0</v>
          </cell>
          <cell r="K4827">
            <v>0</v>
          </cell>
        </row>
        <row r="4828">
          <cell r="A4828">
            <v>0</v>
          </cell>
          <cell r="K4828">
            <v>0</v>
          </cell>
        </row>
        <row r="4829">
          <cell r="A4829">
            <v>0</v>
          </cell>
          <cell r="K4829">
            <v>0</v>
          </cell>
        </row>
        <row r="4830">
          <cell r="A4830">
            <v>0</v>
          </cell>
          <cell r="K4830">
            <v>0</v>
          </cell>
        </row>
        <row r="4831">
          <cell r="A4831">
            <v>0</v>
          </cell>
          <cell r="K4831">
            <v>0</v>
          </cell>
        </row>
        <row r="4832">
          <cell r="A4832">
            <v>0</v>
          </cell>
          <cell r="K4832">
            <v>0</v>
          </cell>
        </row>
        <row r="4833">
          <cell r="A4833">
            <v>0</v>
          </cell>
          <cell r="K4833">
            <v>0</v>
          </cell>
        </row>
        <row r="4834">
          <cell r="A4834">
            <v>0</v>
          </cell>
          <cell r="K4834">
            <v>0</v>
          </cell>
        </row>
        <row r="4835">
          <cell r="A4835">
            <v>0</v>
          </cell>
          <cell r="K4835">
            <v>0</v>
          </cell>
        </row>
        <row r="4836">
          <cell r="A4836">
            <v>0</v>
          </cell>
          <cell r="K4836">
            <v>0</v>
          </cell>
        </row>
        <row r="4837">
          <cell r="A4837">
            <v>0</v>
          </cell>
          <cell r="K4837">
            <v>0</v>
          </cell>
        </row>
        <row r="4838">
          <cell r="A4838">
            <v>0</v>
          </cell>
          <cell r="K4838">
            <v>0</v>
          </cell>
        </row>
        <row r="4839">
          <cell r="A4839">
            <v>0</v>
          </cell>
          <cell r="K4839">
            <v>0</v>
          </cell>
        </row>
        <row r="4840">
          <cell r="A4840">
            <v>0</v>
          </cell>
          <cell r="K4840">
            <v>0</v>
          </cell>
        </row>
        <row r="4841">
          <cell r="A4841">
            <v>0</v>
          </cell>
          <cell r="K4841">
            <v>0</v>
          </cell>
        </row>
        <row r="4842">
          <cell r="A4842">
            <v>0</v>
          </cell>
          <cell r="K4842">
            <v>0</v>
          </cell>
        </row>
        <row r="4843">
          <cell r="A4843">
            <v>0</v>
          </cell>
          <cell r="K4843">
            <v>0</v>
          </cell>
        </row>
        <row r="4844">
          <cell r="A4844">
            <v>0</v>
          </cell>
          <cell r="K4844">
            <v>0</v>
          </cell>
        </row>
        <row r="4845">
          <cell r="A4845">
            <v>0</v>
          </cell>
          <cell r="K4845">
            <v>0</v>
          </cell>
        </row>
        <row r="4846">
          <cell r="A4846">
            <v>0</v>
          </cell>
          <cell r="K4846">
            <v>0</v>
          </cell>
        </row>
        <row r="4847">
          <cell r="A4847">
            <v>0</v>
          </cell>
          <cell r="K4847">
            <v>0</v>
          </cell>
        </row>
        <row r="4848">
          <cell r="A4848">
            <v>0</v>
          </cell>
          <cell r="K4848">
            <v>0</v>
          </cell>
        </row>
        <row r="4849">
          <cell r="A4849">
            <v>0</v>
          </cell>
          <cell r="K4849">
            <v>0</v>
          </cell>
        </row>
        <row r="4850">
          <cell r="A4850">
            <v>0</v>
          </cell>
          <cell r="K4850">
            <v>0</v>
          </cell>
        </row>
        <row r="4851">
          <cell r="A4851">
            <v>0</v>
          </cell>
          <cell r="K4851">
            <v>0</v>
          </cell>
        </row>
        <row r="4852">
          <cell r="A4852">
            <v>0</v>
          </cell>
          <cell r="K4852">
            <v>0</v>
          </cell>
        </row>
        <row r="4853">
          <cell r="A4853">
            <v>0</v>
          </cell>
          <cell r="K4853">
            <v>0</v>
          </cell>
        </row>
        <row r="4854">
          <cell r="A4854">
            <v>0</v>
          </cell>
          <cell r="K4854">
            <v>0</v>
          </cell>
        </row>
        <row r="4855">
          <cell r="A4855">
            <v>0</v>
          </cell>
          <cell r="K4855">
            <v>0</v>
          </cell>
        </row>
        <row r="4856">
          <cell r="A4856">
            <v>0</v>
          </cell>
          <cell r="K4856">
            <v>0</v>
          </cell>
        </row>
        <row r="4857">
          <cell r="A4857">
            <v>0</v>
          </cell>
          <cell r="K4857">
            <v>0</v>
          </cell>
        </row>
        <row r="4858">
          <cell r="A4858">
            <v>0</v>
          </cell>
          <cell r="K4858">
            <v>0</v>
          </cell>
        </row>
        <row r="4859">
          <cell r="A4859">
            <v>0</v>
          </cell>
          <cell r="K4859">
            <v>0</v>
          </cell>
        </row>
        <row r="4860">
          <cell r="A4860">
            <v>0</v>
          </cell>
          <cell r="K4860">
            <v>0</v>
          </cell>
        </row>
        <row r="4861">
          <cell r="A4861">
            <v>0</v>
          </cell>
          <cell r="K4861">
            <v>0</v>
          </cell>
        </row>
        <row r="4862">
          <cell r="A4862">
            <v>0</v>
          </cell>
          <cell r="K4862">
            <v>0</v>
          </cell>
        </row>
        <row r="4863">
          <cell r="A4863">
            <v>0</v>
          </cell>
          <cell r="K4863">
            <v>0</v>
          </cell>
        </row>
        <row r="4864">
          <cell r="A4864">
            <v>0</v>
          </cell>
          <cell r="K4864">
            <v>0</v>
          </cell>
        </row>
        <row r="4865">
          <cell r="A4865">
            <v>0</v>
          </cell>
          <cell r="K4865">
            <v>0</v>
          </cell>
        </row>
        <row r="4866">
          <cell r="A4866">
            <v>0</v>
          </cell>
          <cell r="K4866">
            <v>0</v>
          </cell>
        </row>
        <row r="4867">
          <cell r="A4867">
            <v>0</v>
          </cell>
          <cell r="K4867">
            <v>0</v>
          </cell>
        </row>
        <row r="4868">
          <cell r="A4868">
            <v>0</v>
          </cell>
          <cell r="K4868">
            <v>0</v>
          </cell>
        </row>
        <row r="4869">
          <cell r="A4869">
            <v>0</v>
          </cell>
          <cell r="K4869">
            <v>0</v>
          </cell>
        </row>
        <row r="4870">
          <cell r="A4870">
            <v>0</v>
          </cell>
          <cell r="K4870">
            <v>0</v>
          </cell>
        </row>
        <row r="4871">
          <cell r="A4871">
            <v>0</v>
          </cell>
          <cell r="K4871">
            <v>0</v>
          </cell>
        </row>
        <row r="4872">
          <cell r="A4872">
            <v>0</v>
          </cell>
          <cell r="K4872">
            <v>0</v>
          </cell>
        </row>
        <row r="4873">
          <cell r="A4873">
            <v>0</v>
          </cell>
          <cell r="K4873">
            <v>0</v>
          </cell>
        </row>
        <row r="4874">
          <cell r="A4874">
            <v>0</v>
          </cell>
          <cell r="K4874">
            <v>0</v>
          </cell>
        </row>
        <row r="4875">
          <cell r="A4875">
            <v>0</v>
          </cell>
          <cell r="K4875">
            <v>0</v>
          </cell>
        </row>
        <row r="4876">
          <cell r="A4876">
            <v>0</v>
          </cell>
          <cell r="K4876">
            <v>0</v>
          </cell>
        </row>
        <row r="4877">
          <cell r="A4877">
            <v>0</v>
          </cell>
          <cell r="K4877">
            <v>0</v>
          </cell>
        </row>
        <row r="4878">
          <cell r="A4878">
            <v>0</v>
          </cell>
          <cell r="K4878">
            <v>0</v>
          </cell>
        </row>
        <row r="4879">
          <cell r="A4879">
            <v>0</v>
          </cell>
          <cell r="K4879">
            <v>0</v>
          </cell>
        </row>
        <row r="4880">
          <cell r="A4880">
            <v>0</v>
          </cell>
          <cell r="K4880">
            <v>0</v>
          </cell>
        </row>
        <row r="4881">
          <cell r="A4881">
            <v>0</v>
          </cell>
          <cell r="K4881">
            <v>0</v>
          </cell>
        </row>
        <row r="4882">
          <cell r="A4882">
            <v>0</v>
          </cell>
          <cell r="K4882">
            <v>0</v>
          </cell>
        </row>
        <row r="4883">
          <cell r="A4883">
            <v>0</v>
          </cell>
          <cell r="K4883">
            <v>0</v>
          </cell>
        </row>
        <row r="4884">
          <cell r="A4884">
            <v>0</v>
          </cell>
          <cell r="K4884">
            <v>0</v>
          </cell>
        </row>
        <row r="4885">
          <cell r="A4885">
            <v>0</v>
          </cell>
          <cell r="K4885">
            <v>0</v>
          </cell>
        </row>
        <row r="4886">
          <cell r="A4886">
            <v>0</v>
          </cell>
          <cell r="K4886">
            <v>0</v>
          </cell>
        </row>
        <row r="4887">
          <cell r="A4887">
            <v>0</v>
          </cell>
          <cell r="K4887">
            <v>0</v>
          </cell>
        </row>
        <row r="4888">
          <cell r="A4888">
            <v>0</v>
          </cell>
          <cell r="K4888">
            <v>0</v>
          </cell>
        </row>
        <row r="4889">
          <cell r="A4889">
            <v>0</v>
          </cell>
          <cell r="K4889">
            <v>0</v>
          </cell>
        </row>
        <row r="4890">
          <cell r="A4890">
            <v>0</v>
          </cell>
          <cell r="K4890">
            <v>0</v>
          </cell>
        </row>
        <row r="4891">
          <cell r="A4891">
            <v>0</v>
          </cell>
          <cell r="K4891">
            <v>0</v>
          </cell>
        </row>
        <row r="4892">
          <cell r="A4892">
            <v>0</v>
          </cell>
          <cell r="K4892">
            <v>0</v>
          </cell>
        </row>
        <row r="4893">
          <cell r="A4893">
            <v>0</v>
          </cell>
          <cell r="K4893">
            <v>0</v>
          </cell>
        </row>
        <row r="4894">
          <cell r="A4894">
            <v>0</v>
          </cell>
          <cell r="K4894">
            <v>0</v>
          </cell>
        </row>
        <row r="4895">
          <cell r="A4895">
            <v>0</v>
          </cell>
          <cell r="K4895">
            <v>0</v>
          </cell>
        </row>
        <row r="4896">
          <cell r="A4896">
            <v>0</v>
          </cell>
          <cell r="K4896">
            <v>0</v>
          </cell>
        </row>
        <row r="4897">
          <cell r="A4897">
            <v>0</v>
          </cell>
          <cell r="K4897">
            <v>0</v>
          </cell>
        </row>
        <row r="4898">
          <cell r="A4898">
            <v>0</v>
          </cell>
          <cell r="K4898">
            <v>0</v>
          </cell>
        </row>
        <row r="4899">
          <cell r="A4899">
            <v>0</v>
          </cell>
          <cell r="K4899">
            <v>0</v>
          </cell>
        </row>
        <row r="4900">
          <cell r="A4900">
            <v>0</v>
          </cell>
          <cell r="K4900">
            <v>0</v>
          </cell>
        </row>
        <row r="4901">
          <cell r="A4901">
            <v>0</v>
          </cell>
          <cell r="K4901">
            <v>0</v>
          </cell>
        </row>
        <row r="4902">
          <cell r="A4902">
            <v>0</v>
          </cell>
          <cell r="K4902">
            <v>0</v>
          </cell>
        </row>
        <row r="4903">
          <cell r="A4903">
            <v>0</v>
          </cell>
          <cell r="K4903">
            <v>0</v>
          </cell>
        </row>
        <row r="4904">
          <cell r="A4904">
            <v>0</v>
          </cell>
          <cell r="K4904">
            <v>0</v>
          </cell>
        </row>
        <row r="4905">
          <cell r="A4905">
            <v>0</v>
          </cell>
          <cell r="K4905">
            <v>0</v>
          </cell>
        </row>
        <row r="4906">
          <cell r="A4906">
            <v>0</v>
          </cell>
          <cell r="K4906">
            <v>0</v>
          </cell>
        </row>
        <row r="4907">
          <cell r="A4907">
            <v>0</v>
          </cell>
          <cell r="K4907">
            <v>0</v>
          </cell>
        </row>
        <row r="4908">
          <cell r="A4908">
            <v>0</v>
          </cell>
          <cell r="K4908">
            <v>0</v>
          </cell>
        </row>
        <row r="4909">
          <cell r="A4909">
            <v>0</v>
          </cell>
          <cell r="K4909">
            <v>0</v>
          </cell>
        </row>
        <row r="4910">
          <cell r="A4910">
            <v>0</v>
          </cell>
          <cell r="K4910">
            <v>0</v>
          </cell>
        </row>
        <row r="4911">
          <cell r="A4911">
            <v>0</v>
          </cell>
          <cell r="K4911">
            <v>0</v>
          </cell>
        </row>
        <row r="4912">
          <cell r="A4912">
            <v>0</v>
          </cell>
          <cell r="K4912">
            <v>0</v>
          </cell>
        </row>
        <row r="4913">
          <cell r="A4913">
            <v>0</v>
          </cell>
          <cell r="K4913">
            <v>0</v>
          </cell>
        </row>
        <row r="4914">
          <cell r="A4914">
            <v>0</v>
          </cell>
          <cell r="K4914">
            <v>0</v>
          </cell>
        </row>
        <row r="4915">
          <cell r="A4915">
            <v>0</v>
          </cell>
          <cell r="K4915">
            <v>0</v>
          </cell>
        </row>
        <row r="4916">
          <cell r="A4916">
            <v>0</v>
          </cell>
          <cell r="K4916">
            <v>0</v>
          </cell>
        </row>
        <row r="4917">
          <cell r="A4917">
            <v>0</v>
          </cell>
          <cell r="K4917">
            <v>0</v>
          </cell>
        </row>
        <row r="4918">
          <cell r="A4918">
            <v>0</v>
          </cell>
          <cell r="K4918">
            <v>0</v>
          </cell>
        </row>
        <row r="4919">
          <cell r="A4919">
            <v>0</v>
          </cell>
          <cell r="K4919">
            <v>0</v>
          </cell>
        </row>
        <row r="4920">
          <cell r="A4920">
            <v>0</v>
          </cell>
          <cell r="K4920">
            <v>0</v>
          </cell>
        </row>
        <row r="4921">
          <cell r="A4921">
            <v>0</v>
          </cell>
          <cell r="K4921">
            <v>0</v>
          </cell>
        </row>
        <row r="4922">
          <cell r="A4922">
            <v>0</v>
          </cell>
          <cell r="K4922">
            <v>0</v>
          </cell>
        </row>
        <row r="4923">
          <cell r="A4923">
            <v>0</v>
          </cell>
          <cell r="K4923">
            <v>0</v>
          </cell>
        </row>
        <row r="4924">
          <cell r="A4924">
            <v>0</v>
          </cell>
          <cell r="K4924">
            <v>0</v>
          </cell>
        </row>
        <row r="4925">
          <cell r="A4925">
            <v>0</v>
          </cell>
          <cell r="K4925">
            <v>0</v>
          </cell>
        </row>
        <row r="4926">
          <cell r="A4926">
            <v>0</v>
          </cell>
          <cell r="K4926">
            <v>0</v>
          </cell>
        </row>
        <row r="4927">
          <cell r="A4927">
            <v>0</v>
          </cell>
          <cell r="K4927">
            <v>0</v>
          </cell>
        </row>
        <row r="4928">
          <cell r="A4928">
            <v>0</v>
          </cell>
          <cell r="K4928">
            <v>0</v>
          </cell>
        </row>
        <row r="4929">
          <cell r="A4929">
            <v>0</v>
          </cell>
          <cell r="K4929">
            <v>0</v>
          </cell>
        </row>
        <row r="4930">
          <cell r="A4930">
            <v>0</v>
          </cell>
          <cell r="K4930">
            <v>0</v>
          </cell>
        </row>
        <row r="4931">
          <cell r="A4931">
            <v>0</v>
          </cell>
          <cell r="K4931">
            <v>0</v>
          </cell>
        </row>
        <row r="4932">
          <cell r="A4932">
            <v>0</v>
          </cell>
          <cell r="K4932">
            <v>0</v>
          </cell>
        </row>
        <row r="4933">
          <cell r="A4933">
            <v>0</v>
          </cell>
          <cell r="K4933">
            <v>0</v>
          </cell>
        </row>
        <row r="4934">
          <cell r="A4934">
            <v>0</v>
          </cell>
          <cell r="K4934">
            <v>0</v>
          </cell>
        </row>
        <row r="4935">
          <cell r="A4935">
            <v>0</v>
          </cell>
          <cell r="K4935">
            <v>0</v>
          </cell>
        </row>
        <row r="4936">
          <cell r="A4936">
            <v>0</v>
          </cell>
          <cell r="K4936">
            <v>0</v>
          </cell>
        </row>
        <row r="4937">
          <cell r="A4937">
            <v>0</v>
          </cell>
          <cell r="K4937">
            <v>0</v>
          </cell>
        </row>
        <row r="4938">
          <cell r="A4938">
            <v>0</v>
          </cell>
          <cell r="K4938">
            <v>0</v>
          </cell>
        </row>
        <row r="4939">
          <cell r="A4939">
            <v>0</v>
          </cell>
          <cell r="K4939">
            <v>0</v>
          </cell>
        </row>
        <row r="4940">
          <cell r="A4940">
            <v>0</v>
          </cell>
          <cell r="K4940">
            <v>0</v>
          </cell>
        </row>
        <row r="4941">
          <cell r="A4941">
            <v>0</v>
          </cell>
          <cell r="K4941">
            <v>0</v>
          </cell>
        </row>
        <row r="4942">
          <cell r="A4942">
            <v>0</v>
          </cell>
          <cell r="K4942">
            <v>0</v>
          </cell>
        </row>
        <row r="4943">
          <cell r="A4943">
            <v>0</v>
          </cell>
          <cell r="K4943">
            <v>0</v>
          </cell>
        </row>
        <row r="4944">
          <cell r="A4944">
            <v>0</v>
          </cell>
          <cell r="K4944">
            <v>0</v>
          </cell>
        </row>
        <row r="4945">
          <cell r="A4945">
            <v>0</v>
          </cell>
          <cell r="K4945">
            <v>0</v>
          </cell>
        </row>
        <row r="4946">
          <cell r="A4946">
            <v>0</v>
          </cell>
          <cell r="K4946">
            <v>0</v>
          </cell>
        </row>
        <row r="4947">
          <cell r="A4947">
            <v>0</v>
          </cell>
          <cell r="K4947">
            <v>0</v>
          </cell>
        </row>
        <row r="4948">
          <cell r="A4948">
            <v>0</v>
          </cell>
          <cell r="K4948">
            <v>0</v>
          </cell>
        </row>
        <row r="4949">
          <cell r="A4949">
            <v>0</v>
          </cell>
          <cell r="K4949">
            <v>0</v>
          </cell>
        </row>
        <row r="4950">
          <cell r="A4950">
            <v>0</v>
          </cell>
          <cell r="K4950">
            <v>0</v>
          </cell>
        </row>
        <row r="4951">
          <cell r="A4951">
            <v>0</v>
          </cell>
          <cell r="K4951">
            <v>0</v>
          </cell>
        </row>
        <row r="4952">
          <cell r="A4952">
            <v>0</v>
          </cell>
          <cell r="K4952">
            <v>0</v>
          </cell>
        </row>
        <row r="4953">
          <cell r="A4953">
            <v>0</v>
          </cell>
          <cell r="K4953">
            <v>0</v>
          </cell>
        </row>
        <row r="4954">
          <cell r="A4954">
            <v>0</v>
          </cell>
          <cell r="K4954">
            <v>0</v>
          </cell>
        </row>
        <row r="4955">
          <cell r="A4955">
            <v>0</v>
          </cell>
          <cell r="K4955">
            <v>0</v>
          </cell>
        </row>
        <row r="4956">
          <cell r="A4956">
            <v>0</v>
          </cell>
          <cell r="K4956">
            <v>0</v>
          </cell>
        </row>
        <row r="4957">
          <cell r="A4957">
            <v>0</v>
          </cell>
          <cell r="K4957">
            <v>0</v>
          </cell>
        </row>
        <row r="4958">
          <cell r="A4958">
            <v>0</v>
          </cell>
          <cell r="K4958">
            <v>0</v>
          </cell>
        </row>
        <row r="4959">
          <cell r="A4959">
            <v>0</v>
          </cell>
          <cell r="K4959">
            <v>0</v>
          </cell>
        </row>
        <row r="4960">
          <cell r="A4960">
            <v>0</v>
          </cell>
          <cell r="K4960">
            <v>0</v>
          </cell>
        </row>
        <row r="4961">
          <cell r="A4961">
            <v>0</v>
          </cell>
          <cell r="K4961">
            <v>0</v>
          </cell>
        </row>
        <row r="4962">
          <cell r="A4962">
            <v>0</v>
          </cell>
          <cell r="K4962">
            <v>0</v>
          </cell>
        </row>
        <row r="4963">
          <cell r="A4963">
            <v>0</v>
          </cell>
          <cell r="K4963">
            <v>0</v>
          </cell>
        </row>
        <row r="4964">
          <cell r="A4964">
            <v>0</v>
          </cell>
          <cell r="K4964">
            <v>0</v>
          </cell>
        </row>
        <row r="4965">
          <cell r="A4965">
            <v>0</v>
          </cell>
          <cell r="K4965">
            <v>0</v>
          </cell>
        </row>
        <row r="4966">
          <cell r="A4966">
            <v>0</v>
          </cell>
          <cell r="K4966">
            <v>0</v>
          </cell>
        </row>
        <row r="4967">
          <cell r="A4967">
            <v>0</v>
          </cell>
          <cell r="K4967">
            <v>0</v>
          </cell>
        </row>
        <row r="4968">
          <cell r="A4968">
            <v>0</v>
          </cell>
          <cell r="K4968">
            <v>0</v>
          </cell>
        </row>
        <row r="4969">
          <cell r="A4969">
            <v>0</v>
          </cell>
          <cell r="K4969">
            <v>0</v>
          </cell>
        </row>
        <row r="4970">
          <cell r="A4970">
            <v>0</v>
          </cell>
          <cell r="K4970">
            <v>0</v>
          </cell>
        </row>
        <row r="4971">
          <cell r="A4971">
            <v>0</v>
          </cell>
          <cell r="K4971">
            <v>0</v>
          </cell>
        </row>
        <row r="4972">
          <cell r="A4972">
            <v>0</v>
          </cell>
          <cell r="K4972">
            <v>0</v>
          </cell>
        </row>
        <row r="4973">
          <cell r="A4973">
            <v>0</v>
          </cell>
          <cell r="K4973">
            <v>0</v>
          </cell>
        </row>
        <row r="4974">
          <cell r="A4974">
            <v>0</v>
          </cell>
          <cell r="K4974">
            <v>0</v>
          </cell>
        </row>
        <row r="4975">
          <cell r="A4975">
            <v>0</v>
          </cell>
          <cell r="K4975">
            <v>0</v>
          </cell>
        </row>
        <row r="4976">
          <cell r="A4976">
            <v>0</v>
          </cell>
          <cell r="K4976">
            <v>0</v>
          </cell>
        </row>
        <row r="4977">
          <cell r="A4977">
            <v>0</v>
          </cell>
          <cell r="K4977">
            <v>0</v>
          </cell>
        </row>
        <row r="4978">
          <cell r="A4978">
            <v>0</v>
          </cell>
          <cell r="K4978">
            <v>0</v>
          </cell>
        </row>
        <row r="4979">
          <cell r="A4979">
            <v>0</v>
          </cell>
          <cell r="K4979">
            <v>0</v>
          </cell>
        </row>
        <row r="4980">
          <cell r="A4980">
            <v>0</v>
          </cell>
          <cell r="K4980">
            <v>0</v>
          </cell>
        </row>
        <row r="4981">
          <cell r="A4981">
            <v>0</v>
          </cell>
          <cell r="K4981">
            <v>0</v>
          </cell>
        </row>
        <row r="4982">
          <cell r="A4982">
            <v>0</v>
          </cell>
          <cell r="K4982">
            <v>0</v>
          </cell>
        </row>
        <row r="4983">
          <cell r="A4983">
            <v>0</v>
          </cell>
          <cell r="K4983">
            <v>0</v>
          </cell>
        </row>
        <row r="4984">
          <cell r="A4984">
            <v>0</v>
          </cell>
          <cell r="K4984">
            <v>0</v>
          </cell>
        </row>
        <row r="4985">
          <cell r="A4985">
            <v>0</v>
          </cell>
          <cell r="K4985">
            <v>0</v>
          </cell>
        </row>
        <row r="4986">
          <cell r="A4986">
            <v>0</v>
          </cell>
          <cell r="K4986">
            <v>0</v>
          </cell>
        </row>
        <row r="4987">
          <cell r="A4987">
            <v>0</v>
          </cell>
          <cell r="K4987">
            <v>0</v>
          </cell>
        </row>
        <row r="4988">
          <cell r="A4988">
            <v>0</v>
          </cell>
          <cell r="K4988">
            <v>0</v>
          </cell>
        </row>
        <row r="4989">
          <cell r="A4989">
            <v>0</v>
          </cell>
          <cell r="K4989">
            <v>0</v>
          </cell>
        </row>
        <row r="4990">
          <cell r="A4990">
            <v>0</v>
          </cell>
          <cell r="K4990">
            <v>0</v>
          </cell>
        </row>
        <row r="4991">
          <cell r="A4991">
            <v>0</v>
          </cell>
          <cell r="K4991">
            <v>0</v>
          </cell>
        </row>
        <row r="4992">
          <cell r="A4992">
            <v>0</v>
          </cell>
          <cell r="K4992">
            <v>0</v>
          </cell>
        </row>
        <row r="4993">
          <cell r="A4993">
            <v>0</v>
          </cell>
          <cell r="K4993">
            <v>0</v>
          </cell>
        </row>
        <row r="4994">
          <cell r="A4994">
            <v>0</v>
          </cell>
          <cell r="K4994">
            <v>0</v>
          </cell>
        </row>
        <row r="4995">
          <cell r="A4995">
            <v>0</v>
          </cell>
          <cell r="K4995">
            <v>0</v>
          </cell>
        </row>
        <row r="4996">
          <cell r="A4996">
            <v>0</v>
          </cell>
          <cell r="K4996">
            <v>0</v>
          </cell>
        </row>
        <row r="4997">
          <cell r="A4997">
            <v>0</v>
          </cell>
          <cell r="K4997">
            <v>0</v>
          </cell>
        </row>
        <row r="4998">
          <cell r="A4998">
            <v>0</v>
          </cell>
          <cell r="K4998">
            <v>0</v>
          </cell>
        </row>
        <row r="4999">
          <cell r="A4999">
            <v>0</v>
          </cell>
          <cell r="K4999">
            <v>0</v>
          </cell>
        </row>
        <row r="5000">
          <cell r="A5000">
            <v>0</v>
          </cell>
          <cell r="K5000">
            <v>0</v>
          </cell>
        </row>
        <row r="5001">
          <cell r="A5001">
            <v>0</v>
          </cell>
          <cell r="K5001">
            <v>0</v>
          </cell>
        </row>
        <row r="5002">
          <cell r="A5002">
            <v>0</v>
          </cell>
          <cell r="K5002">
            <v>0</v>
          </cell>
        </row>
        <row r="5003">
          <cell r="A5003">
            <v>0</v>
          </cell>
          <cell r="K5003">
            <v>0</v>
          </cell>
        </row>
        <row r="5004">
          <cell r="A5004">
            <v>0</v>
          </cell>
          <cell r="K5004">
            <v>0</v>
          </cell>
        </row>
        <row r="5005">
          <cell r="A5005">
            <v>0</v>
          </cell>
          <cell r="K5005">
            <v>0</v>
          </cell>
        </row>
        <row r="5006">
          <cell r="A5006">
            <v>0</v>
          </cell>
          <cell r="K5006">
            <v>0</v>
          </cell>
        </row>
        <row r="5007">
          <cell r="A5007">
            <v>0</v>
          </cell>
          <cell r="K5007">
            <v>0</v>
          </cell>
        </row>
        <row r="5008">
          <cell r="A5008">
            <v>0</v>
          </cell>
          <cell r="K5008">
            <v>0</v>
          </cell>
        </row>
        <row r="5009">
          <cell r="A5009">
            <v>0</v>
          </cell>
          <cell r="K5009">
            <v>0</v>
          </cell>
        </row>
        <row r="5010">
          <cell r="A5010">
            <v>0</v>
          </cell>
          <cell r="K5010">
            <v>0</v>
          </cell>
        </row>
        <row r="5011">
          <cell r="A5011">
            <v>0</v>
          </cell>
          <cell r="K5011">
            <v>0</v>
          </cell>
        </row>
        <row r="5012">
          <cell r="A5012">
            <v>0</v>
          </cell>
          <cell r="K5012">
            <v>0</v>
          </cell>
        </row>
        <row r="5013">
          <cell r="A5013">
            <v>0</v>
          </cell>
          <cell r="K5013">
            <v>0</v>
          </cell>
        </row>
        <row r="5014">
          <cell r="A5014">
            <v>0</v>
          </cell>
          <cell r="K5014">
            <v>0</v>
          </cell>
        </row>
        <row r="5015">
          <cell r="A5015">
            <v>0</v>
          </cell>
          <cell r="K5015">
            <v>0</v>
          </cell>
        </row>
        <row r="5016">
          <cell r="A5016">
            <v>0</v>
          </cell>
          <cell r="K5016">
            <v>0</v>
          </cell>
        </row>
        <row r="5017">
          <cell r="A5017">
            <v>0</v>
          </cell>
          <cell r="K5017">
            <v>0</v>
          </cell>
        </row>
        <row r="5018">
          <cell r="A5018">
            <v>0</v>
          </cell>
          <cell r="K5018">
            <v>0</v>
          </cell>
        </row>
        <row r="5019">
          <cell r="A5019">
            <v>0</v>
          </cell>
          <cell r="K5019">
            <v>0</v>
          </cell>
        </row>
        <row r="5020">
          <cell r="A5020">
            <v>0</v>
          </cell>
          <cell r="K5020">
            <v>0</v>
          </cell>
        </row>
        <row r="5021">
          <cell r="A5021">
            <v>0</v>
          </cell>
          <cell r="K5021">
            <v>0</v>
          </cell>
        </row>
        <row r="5022">
          <cell r="A5022">
            <v>0</v>
          </cell>
          <cell r="K5022">
            <v>0</v>
          </cell>
        </row>
        <row r="5023">
          <cell r="A5023">
            <v>0</v>
          </cell>
          <cell r="K5023">
            <v>0</v>
          </cell>
        </row>
        <row r="5024">
          <cell r="A5024">
            <v>0</v>
          </cell>
          <cell r="K5024">
            <v>0</v>
          </cell>
        </row>
        <row r="5025">
          <cell r="A5025">
            <v>0</v>
          </cell>
          <cell r="K5025">
            <v>0</v>
          </cell>
        </row>
        <row r="5026">
          <cell r="A5026">
            <v>0</v>
          </cell>
          <cell r="K5026">
            <v>0</v>
          </cell>
        </row>
        <row r="5027">
          <cell r="A5027">
            <v>0</v>
          </cell>
          <cell r="K5027">
            <v>0</v>
          </cell>
        </row>
        <row r="5028">
          <cell r="A5028">
            <v>0</v>
          </cell>
          <cell r="K5028">
            <v>0</v>
          </cell>
        </row>
        <row r="5029">
          <cell r="A5029">
            <v>0</v>
          </cell>
          <cell r="K5029">
            <v>0</v>
          </cell>
        </row>
        <row r="5030">
          <cell r="A5030">
            <v>0</v>
          </cell>
          <cell r="K5030">
            <v>0</v>
          </cell>
        </row>
        <row r="5031">
          <cell r="A5031">
            <v>0</v>
          </cell>
          <cell r="K5031">
            <v>0</v>
          </cell>
        </row>
        <row r="5032">
          <cell r="A5032">
            <v>0</v>
          </cell>
          <cell r="K5032">
            <v>0</v>
          </cell>
        </row>
        <row r="5033">
          <cell r="A5033">
            <v>0</v>
          </cell>
          <cell r="K5033">
            <v>0</v>
          </cell>
        </row>
        <row r="5034">
          <cell r="A5034">
            <v>0</v>
          </cell>
          <cell r="K5034">
            <v>0</v>
          </cell>
        </row>
        <row r="5035">
          <cell r="A5035">
            <v>0</v>
          </cell>
          <cell r="K5035">
            <v>0</v>
          </cell>
        </row>
        <row r="5036">
          <cell r="A5036">
            <v>0</v>
          </cell>
          <cell r="K5036">
            <v>0</v>
          </cell>
        </row>
        <row r="5037">
          <cell r="A5037">
            <v>0</v>
          </cell>
          <cell r="K5037">
            <v>0</v>
          </cell>
        </row>
        <row r="5038">
          <cell r="A5038">
            <v>0</v>
          </cell>
          <cell r="K5038">
            <v>0</v>
          </cell>
        </row>
        <row r="5039">
          <cell r="A5039">
            <v>0</v>
          </cell>
          <cell r="K5039">
            <v>0</v>
          </cell>
        </row>
        <row r="5040">
          <cell r="A5040">
            <v>0</v>
          </cell>
          <cell r="K5040">
            <v>0</v>
          </cell>
        </row>
        <row r="5041">
          <cell r="A5041">
            <v>0</v>
          </cell>
          <cell r="K5041">
            <v>0</v>
          </cell>
        </row>
        <row r="5042">
          <cell r="A5042">
            <v>0</v>
          </cell>
          <cell r="K5042">
            <v>0</v>
          </cell>
        </row>
        <row r="5043">
          <cell r="A5043">
            <v>0</v>
          </cell>
          <cell r="K5043">
            <v>0</v>
          </cell>
        </row>
        <row r="5044">
          <cell r="A5044">
            <v>0</v>
          </cell>
          <cell r="K5044">
            <v>0</v>
          </cell>
        </row>
        <row r="5045">
          <cell r="A5045">
            <v>0</v>
          </cell>
          <cell r="K5045">
            <v>0</v>
          </cell>
        </row>
        <row r="5046">
          <cell r="A5046">
            <v>0</v>
          </cell>
          <cell r="K5046">
            <v>0</v>
          </cell>
        </row>
        <row r="5047">
          <cell r="A5047">
            <v>0</v>
          </cell>
          <cell r="K5047">
            <v>0</v>
          </cell>
        </row>
        <row r="5048">
          <cell r="A5048">
            <v>0</v>
          </cell>
          <cell r="K5048">
            <v>0</v>
          </cell>
        </row>
        <row r="5049">
          <cell r="A5049">
            <v>0</v>
          </cell>
          <cell r="K5049">
            <v>0</v>
          </cell>
        </row>
        <row r="5050">
          <cell r="A5050">
            <v>0</v>
          </cell>
          <cell r="K5050">
            <v>0</v>
          </cell>
        </row>
        <row r="5051">
          <cell r="A5051">
            <v>0</v>
          </cell>
          <cell r="K5051">
            <v>0</v>
          </cell>
        </row>
        <row r="5052">
          <cell r="A5052">
            <v>0</v>
          </cell>
          <cell r="K5052">
            <v>0</v>
          </cell>
        </row>
        <row r="5053">
          <cell r="A5053">
            <v>0</v>
          </cell>
          <cell r="K5053">
            <v>0</v>
          </cell>
        </row>
        <row r="5054">
          <cell r="A5054">
            <v>0</v>
          </cell>
          <cell r="K5054">
            <v>0</v>
          </cell>
        </row>
        <row r="5055">
          <cell r="A5055">
            <v>0</v>
          </cell>
          <cell r="K5055">
            <v>0</v>
          </cell>
        </row>
        <row r="5056">
          <cell r="A5056">
            <v>0</v>
          </cell>
          <cell r="K5056">
            <v>0</v>
          </cell>
        </row>
        <row r="5057">
          <cell r="A5057">
            <v>0</v>
          </cell>
          <cell r="K5057">
            <v>0</v>
          </cell>
        </row>
        <row r="5058">
          <cell r="A5058">
            <v>0</v>
          </cell>
          <cell r="K5058">
            <v>0</v>
          </cell>
        </row>
        <row r="5059">
          <cell r="A5059">
            <v>0</v>
          </cell>
          <cell r="K5059">
            <v>0</v>
          </cell>
        </row>
        <row r="5060">
          <cell r="A5060">
            <v>0</v>
          </cell>
          <cell r="K5060">
            <v>0</v>
          </cell>
        </row>
        <row r="5061">
          <cell r="A5061">
            <v>0</v>
          </cell>
          <cell r="K5061">
            <v>0</v>
          </cell>
        </row>
        <row r="5062">
          <cell r="A5062">
            <v>0</v>
          </cell>
          <cell r="K5062">
            <v>0</v>
          </cell>
        </row>
        <row r="5063">
          <cell r="A5063">
            <v>0</v>
          </cell>
          <cell r="K5063">
            <v>0</v>
          </cell>
        </row>
        <row r="5064">
          <cell r="A5064">
            <v>0</v>
          </cell>
          <cell r="K5064">
            <v>0</v>
          </cell>
        </row>
        <row r="5065">
          <cell r="A5065">
            <v>0</v>
          </cell>
          <cell r="K5065">
            <v>0</v>
          </cell>
        </row>
        <row r="5066">
          <cell r="A5066">
            <v>0</v>
          </cell>
          <cell r="K5066">
            <v>0</v>
          </cell>
        </row>
        <row r="5067">
          <cell r="A5067">
            <v>0</v>
          </cell>
          <cell r="K5067">
            <v>0</v>
          </cell>
        </row>
        <row r="5068">
          <cell r="A5068">
            <v>0</v>
          </cell>
          <cell r="K5068">
            <v>0</v>
          </cell>
        </row>
        <row r="5069">
          <cell r="A5069">
            <v>0</v>
          </cell>
          <cell r="K5069">
            <v>0</v>
          </cell>
        </row>
        <row r="5070">
          <cell r="A5070">
            <v>0</v>
          </cell>
          <cell r="K5070">
            <v>0</v>
          </cell>
        </row>
        <row r="5071">
          <cell r="A5071">
            <v>0</v>
          </cell>
          <cell r="K5071">
            <v>0</v>
          </cell>
        </row>
        <row r="5072">
          <cell r="A5072">
            <v>0</v>
          </cell>
          <cell r="K5072">
            <v>0</v>
          </cell>
        </row>
        <row r="5073">
          <cell r="A5073">
            <v>0</v>
          </cell>
          <cell r="K5073">
            <v>0</v>
          </cell>
        </row>
        <row r="5074">
          <cell r="A5074">
            <v>0</v>
          </cell>
          <cell r="K5074">
            <v>0</v>
          </cell>
        </row>
        <row r="5075">
          <cell r="A5075">
            <v>0</v>
          </cell>
          <cell r="K5075">
            <v>0</v>
          </cell>
        </row>
        <row r="5076">
          <cell r="A5076">
            <v>0</v>
          </cell>
          <cell r="K5076">
            <v>0</v>
          </cell>
        </row>
        <row r="5077">
          <cell r="A5077">
            <v>0</v>
          </cell>
          <cell r="K5077">
            <v>0</v>
          </cell>
        </row>
        <row r="5078">
          <cell r="A5078">
            <v>0</v>
          </cell>
          <cell r="K5078">
            <v>0</v>
          </cell>
        </row>
        <row r="5079">
          <cell r="A5079">
            <v>0</v>
          </cell>
          <cell r="K5079">
            <v>0</v>
          </cell>
        </row>
        <row r="5080">
          <cell r="A5080">
            <v>0</v>
          </cell>
          <cell r="K5080">
            <v>0</v>
          </cell>
        </row>
        <row r="5081">
          <cell r="A5081">
            <v>0</v>
          </cell>
          <cell r="K5081">
            <v>0</v>
          </cell>
        </row>
        <row r="5082">
          <cell r="A5082">
            <v>0</v>
          </cell>
          <cell r="K5082">
            <v>0</v>
          </cell>
        </row>
        <row r="5083">
          <cell r="A5083">
            <v>0</v>
          </cell>
          <cell r="K5083">
            <v>0</v>
          </cell>
        </row>
        <row r="5084">
          <cell r="A5084">
            <v>0</v>
          </cell>
          <cell r="K5084">
            <v>0</v>
          </cell>
        </row>
        <row r="5085">
          <cell r="A5085">
            <v>0</v>
          </cell>
          <cell r="K5085">
            <v>0</v>
          </cell>
        </row>
        <row r="5086">
          <cell r="A5086">
            <v>0</v>
          </cell>
          <cell r="K5086">
            <v>0</v>
          </cell>
        </row>
        <row r="5087">
          <cell r="A5087">
            <v>0</v>
          </cell>
          <cell r="K5087">
            <v>0</v>
          </cell>
        </row>
        <row r="5088">
          <cell r="A5088">
            <v>0</v>
          </cell>
          <cell r="K5088">
            <v>0</v>
          </cell>
        </row>
        <row r="5089">
          <cell r="A5089">
            <v>0</v>
          </cell>
          <cell r="K5089">
            <v>0</v>
          </cell>
        </row>
        <row r="5090">
          <cell r="A5090">
            <v>0</v>
          </cell>
          <cell r="K5090">
            <v>0</v>
          </cell>
        </row>
        <row r="5091">
          <cell r="A5091">
            <v>0</v>
          </cell>
          <cell r="K5091">
            <v>0</v>
          </cell>
        </row>
        <row r="5092">
          <cell r="A5092">
            <v>0</v>
          </cell>
          <cell r="K5092">
            <v>0</v>
          </cell>
        </row>
        <row r="5093">
          <cell r="A5093">
            <v>0</v>
          </cell>
          <cell r="K5093">
            <v>0</v>
          </cell>
        </row>
        <row r="5094">
          <cell r="A5094">
            <v>0</v>
          </cell>
          <cell r="K5094">
            <v>0</v>
          </cell>
        </row>
        <row r="5095">
          <cell r="A5095">
            <v>0</v>
          </cell>
          <cell r="K5095">
            <v>0</v>
          </cell>
        </row>
        <row r="5096">
          <cell r="A5096">
            <v>0</v>
          </cell>
          <cell r="K5096">
            <v>0</v>
          </cell>
        </row>
        <row r="5097">
          <cell r="A5097">
            <v>0</v>
          </cell>
          <cell r="K5097">
            <v>0</v>
          </cell>
        </row>
        <row r="5098">
          <cell r="A5098">
            <v>0</v>
          </cell>
          <cell r="K5098">
            <v>0</v>
          </cell>
        </row>
        <row r="5099">
          <cell r="A5099">
            <v>0</v>
          </cell>
          <cell r="K5099">
            <v>0</v>
          </cell>
        </row>
        <row r="5100">
          <cell r="A5100">
            <v>0</v>
          </cell>
          <cell r="K5100">
            <v>0</v>
          </cell>
        </row>
        <row r="5101">
          <cell r="A5101">
            <v>0</v>
          </cell>
          <cell r="K5101">
            <v>0</v>
          </cell>
        </row>
        <row r="5102">
          <cell r="A5102">
            <v>0</v>
          </cell>
          <cell r="K5102">
            <v>0</v>
          </cell>
        </row>
        <row r="5103">
          <cell r="A5103">
            <v>0</v>
          </cell>
          <cell r="K5103">
            <v>0</v>
          </cell>
        </row>
        <row r="5104">
          <cell r="A5104">
            <v>0</v>
          </cell>
          <cell r="K5104">
            <v>0</v>
          </cell>
        </row>
        <row r="5105">
          <cell r="A5105">
            <v>0</v>
          </cell>
          <cell r="K5105">
            <v>0</v>
          </cell>
        </row>
        <row r="5106">
          <cell r="A5106">
            <v>0</v>
          </cell>
          <cell r="K5106">
            <v>0</v>
          </cell>
        </row>
        <row r="5107">
          <cell r="A5107">
            <v>0</v>
          </cell>
          <cell r="K5107">
            <v>0</v>
          </cell>
        </row>
        <row r="5108">
          <cell r="A5108">
            <v>0</v>
          </cell>
          <cell r="K5108">
            <v>0</v>
          </cell>
        </row>
        <row r="5109">
          <cell r="A5109">
            <v>0</v>
          </cell>
          <cell r="K5109">
            <v>0</v>
          </cell>
        </row>
        <row r="5110">
          <cell r="A5110">
            <v>0</v>
          </cell>
          <cell r="K5110">
            <v>0</v>
          </cell>
        </row>
        <row r="5111">
          <cell r="A5111">
            <v>0</v>
          </cell>
          <cell r="K5111">
            <v>0</v>
          </cell>
        </row>
        <row r="5112">
          <cell r="A5112">
            <v>0</v>
          </cell>
          <cell r="K5112">
            <v>0</v>
          </cell>
        </row>
        <row r="5113">
          <cell r="A5113">
            <v>0</v>
          </cell>
          <cell r="K5113">
            <v>0</v>
          </cell>
        </row>
        <row r="5114">
          <cell r="A5114">
            <v>0</v>
          </cell>
          <cell r="K5114">
            <v>0</v>
          </cell>
        </row>
        <row r="5115">
          <cell r="A5115">
            <v>0</v>
          </cell>
          <cell r="K5115">
            <v>0</v>
          </cell>
        </row>
        <row r="5116">
          <cell r="A5116">
            <v>0</v>
          </cell>
          <cell r="K5116">
            <v>0</v>
          </cell>
        </row>
        <row r="5117">
          <cell r="A5117">
            <v>0</v>
          </cell>
          <cell r="K5117">
            <v>0</v>
          </cell>
        </row>
        <row r="5118">
          <cell r="A5118">
            <v>0</v>
          </cell>
          <cell r="K5118">
            <v>0</v>
          </cell>
        </row>
        <row r="5119">
          <cell r="A5119">
            <v>0</v>
          </cell>
          <cell r="K5119">
            <v>0</v>
          </cell>
        </row>
        <row r="5120">
          <cell r="A5120">
            <v>0</v>
          </cell>
          <cell r="K5120">
            <v>0</v>
          </cell>
        </row>
        <row r="5121">
          <cell r="A5121">
            <v>0</v>
          </cell>
          <cell r="K5121">
            <v>0</v>
          </cell>
        </row>
        <row r="5122">
          <cell r="A5122">
            <v>0</v>
          </cell>
          <cell r="K5122">
            <v>0</v>
          </cell>
        </row>
        <row r="5123">
          <cell r="A5123">
            <v>0</v>
          </cell>
          <cell r="K5123">
            <v>0</v>
          </cell>
        </row>
        <row r="5124">
          <cell r="A5124">
            <v>0</v>
          </cell>
          <cell r="K5124">
            <v>0</v>
          </cell>
        </row>
        <row r="5125">
          <cell r="A5125">
            <v>0</v>
          </cell>
          <cell r="K5125">
            <v>0</v>
          </cell>
        </row>
        <row r="5126">
          <cell r="A5126">
            <v>0</v>
          </cell>
          <cell r="K5126">
            <v>0</v>
          </cell>
        </row>
        <row r="5127">
          <cell r="A5127">
            <v>0</v>
          </cell>
          <cell r="K5127">
            <v>0</v>
          </cell>
        </row>
        <row r="5128">
          <cell r="A5128">
            <v>0</v>
          </cell>
          <cell r="K5128">
            <v>0</v>
          </cell>
        </row>
        <row r="5129">
          <cell r="A5129">
            <v>0</v>
          </cell>
          <cell r="K5129">
            <v>0</v>
          </cell>
        </row>
        <row r="5130">
          <cell r="A5130">
            <v>0</v>
          </cell>
          <cell r="K5130">
            <v>0</v>
          </cell>
        </row>
        <row r="5131">
          <cell r="A5131">
            <v>0</v>
          </cell>
          <cell r="K5131">
            <v>0</v>
          </cell>
        </row>
        <row r="5132">
          <cell r="A5132">
            <v>0</v>
          </cell>
          <cell r="K5132">
            <v>0</v>
          </cell>
        </row>
        <row r="5133">
          <cell r="A5133">
            <v>0</v>
          </cell>
          <cell r="K5133">
            <v>0</v>
          </cell>
        </row>
        <row r="5134">
          <cell r="A5134">
            <v>0</v>
          </cell>
          <cell r="K5134">
            <v>0</v>
          </cell>
        </row>
        <row r="5135">
          <cell r="A5135">
            <v>0</v>
          </cell>
          <cell r="K5135">
            <v>0</v>
          </cell>
        </row>
        <row r="5136">
          <cell r="A5136">
            <v>0</v>
          </cell>
          <cell r="K5136">
            <v>0</v>
          </cell>
        </row>
        <row r="5137">
          <cell r="A5137">
            <v>0</v>
          </cell>
          <cell r="K5137">
            <v>0</v>
          </cell>
        </row>
        <row r="5138">
          <cell r="A5138">
            <v>0</v>
          </cell>
          <cell r="K5138">
            <v>0</v>
          </cell>
        </row>
        <row r="5139">
          <cell r="A5139">
            <v>0</v>
          </cell>
          <cell r="K5139">
            <v>0</v>
          </cell>
        </row>
        <row r="5140">
          <cell r="A5140">
            <v>0</v>
          </cell>
          <cell r="K5140">
            <v>0</v>
          </cell>
        </row>
        <row r="5141">
          <cell r="A5141">
            <v>0</v>
          </cell>
          <cell r="K5141">
            <v>0</v>
          </cell>
        </row>
        <row r="5142">
          <cell r="A5142">
            <v>0</v>
          </cell>
          <cell r="K5142">
            <v>0</v>
          </cell>
        </row>
        <row r="5143">
          <cell r="A5143">
            <v>0</v>
          </cell>
          <cell r="K5143">
            <v>0</v>
          </cell>
        </row>
        <row r="5144">
          <cell r="A5144">
            <v>0</v>
          </cell>
          <cell r="K5144">
            <v>0</v>
          </cell>
        </row>
        <row r="5145">
          <cell r="A5145">
            <v>0</v>
          </cell>
          <cell r="K5145">
            <v>0</v>
          </cell>
        </row>
        <row r="5146">
          <cell r="A5146">
            <v>0</v>
          </cell>
          <cell r="K5146">
            <v>0</v>
          </cell>
        </row>
        <row r="5147">
          <cell r="A5147">
            <v>0</v>
          </cell>
          <cell r="K5147">
            <v>0</v>
          </cell>
        </row>
        <row r="5148">
          <cell r="A5148">
            <v>0</v>
          </cell>
          <cell r="K5148">
            <v>0</v>
          </cell>
        </row>
        <row r="5149">
          <cell r="A5149">
            <v>0</v>
          </cell>
          <cell r="K5149">
            <v>0</v>
          </cell>
        </row>
        <row r="5150">
          <cell r="A5150">
            <v>0</v>
          </cell>
          <cell r="K5150">
            <v>0</v>
          </cell>
        </row>
        <row r="5151">
          <cell r="A5151">
            <v>0</v>
          </cell>
          <cell r="K5151">
            <v>0</v>
          </cell>
        </row>
        <row r="5152">
          <cell r="A5152">
            <v>0</v>
          </cell>
          <cell r="K5152">
            <v>0</v>
          </cell>
        </row>
        <row r="5153">
          <cell r="A5153">
            <v>0</v>
          </cell>
          <cell r="K5153">
            <v>0</v>
          </cell>
        </row>
        <row r="5154">
          <cell r="A5154">
            <v>0</v>
          </cell>
          <cell r="K5154">
            <v>0</v>
          </cell>
        </row>
        <row r="5155">
          <cell r="A5155">
            <v>0</v>
          </cell>
          <cell r="K5155">
            <v>0</v>
          </cell>
        </row>
        <row r="5156">
          <cell r="A5156">
            <v>0</v>
          </cell>
          <cell r="K5156">
            <v>0</v>
          </cell>
        </row>
        <row r="5157">
          <cell r="A5157">
            <v>0</v>
          </cell>
          <cell r="K5157">
            <v>0</v>
          </cell>
        </row>
        <row r="5158">
          <cell r="A5158">
            <v>0</v>
          </cell>
          <cell r="K5158">
            <v>0</v>
          </cell>
        </row>
        <row r="5159">
          <cell r="A5159">
            <v>0</v>
          </cell>
          <cell r="K5159">
            <v>0</v>
          </cell>
        </row>
        <row r="5160">
          <cell r="A5160">
            <v>0</v>
          </cell>
          <cell r="K5160">
            <v>0</v>
          </cell>
        </row>
        <row r="5161">
          <cell r="A5161">
            <v>0</v>
          </cell>
          <cell r="K5161">
            <v>0</v>
          </cell>
        </row>
        <row r="5162">
          <cell r="A5162">
            <v>0</v>
          </cell>
          <cell r="K5162">
            <v>0</v>
          </cell>
        </row>
        <row r="5163">
          <cell r="A5163">
            <v>0</v>
          </cell>
          <cell r="K5163">
            <v>0</v>
          </cell>
        </row>
        <row r="5164">
          <cell r="A5164">
            <v>0</v>
          </cell>
          <cell r="K5164">
            <v>0</v>
          </cell>
        </row>
        <row r="5165">
          <cell r="A5165">
            <v>0</v>
          </cell>
          <cell r="K5165">
            <v>0</v>
          </cell>
        </row>
        <row r="5166">
          <cell r="A5166">
            <v>0</v>
          </cell>
          <cell r="K5166">
            <v>0</v>
          </cell>
        </row>
        <row r="5167">
          <cell r="A5167">
            <v>0</v>
          </cell>
          <cell r="K5167">
            <v>0</v>
          </cell>
        </row>
        <row r="5168">
          <cell r="A5168">
            <v>0</v>
          </cell>
          <cell r="K5168">
            <v>0</v>
          </cell>
        </row>
        <row r="5169">
          <cell r="A5169">
            <v>0</v>
          </cell>
          <cell r="K5169">
            <v>0</v>
          </cell>
        </row>
        <row r="5170">
          <cell r="A5170">
            <v>0</v>
          </cell>
          <cell r="K5170">
            <v>0</v>
          </cell>
        </row>
        <row r="5171">
          <cell r="A5171">
            <v>0</v>
          </cell>
          <cell r="K5171">
            <v>0</v>
          </cell>
        </row>
        <row r="5172">
          <cell r="A5172">
            <v>0</v>
          </cell>
          <cell r="K5172">
            <v>0</v>
          </cell>
        </row>
        <row r="5173">
          <cell r="A5173">
            <v>0</v>
          </cell>
          <cell r="K5173">
            <v>0</v>
          </cell>
        </row>
        <row r="5174">
          <cell r="A5174">
            <v>0</v>
          </cell>
          <cell r="K5174">
            <v>0</v>
          </cell>
        </row>
        <row r="5175">
          <cell r="A5175">
            <v>0</v>
          </cell>
          <cell r="K5175">
            <v>0</v>
          </cell>
        </row>
        <row r="5176">
          <cell r="A5176">
            <v>0</v>
          </cell>
          <cell r="K5176">
            <v>0</v>
          </cell>
        </row>
        <row r="5177">
          <cell r="A5177">
            <v>0</v>
          </cell>
          <cell r="K5177">
            <v>0</v>
          </cell>
        </row>
        <row r="5178">
          <cell r="A5178">
            <v>0</v>
          </cell>
          <cell r="K5178">
            <v>0</v>
          </cell>
        </row>
        <row r="5179">
          <cell r="A5179">
            <v>0</v>
          </cell>
          <cell r="K5179">
            <v>0</v>
          </cell>
        </row>
        <row r="5180">
          <cell r="A5180">
            <v>0</v>
          </cell>
          <cell r="K5180">
            <v>0</v>
          </cell>
        </row>
        <row r="5181">
          <cell r="A5181">
            <v>0</v>
          </cell>
          <cell r="K5181">
            <v>0</v>
          </cell>
        </row>
        <row r="5182">
          <cell r="A5182">
            <v>0</v>
          </cell>
          <cell r="K5182">
            <v>0</v>
          </cell>
        </row>
        <row r="5183">
          <cell r="A5183">
            <v>0</v>
          </cell>
          <cell r="K5183">
            <v>0</v>
          </cell>
        </row>
        <row r="5184">
          <cell r="A5184">
            <v>0</v>
          </cell>
          <cell r="K5184">
            <v>0</v>
          </cell>
        </row>
        <row r="5185">
          <cell r="A5185">
            <v>0</v>
          </cell>
          <cell r="K5185">
            <v>0</v>
          </cell>
        </row>
        <row r="5186">
          <cell r="A5186">
            <v>0</v>
          </cell>
          <cell r="K5186">
            <v>0</v>
          </cell>
        </row>
        <row r="5187">
          <cell r="A5187">
            <v>0</v>
          </cell>
          <cell r="K5187">
            <v>0</v>
          </cell>
        </row>
        <row r="5188">
          <cell r="A5188">
            <v>0</v>
          </cell>
          <cell r="K5188">
            <v>0</v>
          </cell>
        </row>
        <row r="5189">
          <cell r="A5189">
            <v>0</v>
          </cell>
          <cell r="K5189">
            <v>0</v>
          </cell>
        </row>
        <row r="5190">
          <cell r="A5190">
            <v>0</v>
          </cell>
          <cell r="K5190">
            <v>0</v>
          </cell>
        </row>
        <row r="5191">
          <cell r="A5191">
            <v>0</v>
          </cell>
          <cell r="K5191">
            <v>0</v>
          </cell>
        </row>
        <row r="5192">
          <cell r="A5192">
            <v>0</v>
          </cell>
          <cell r="K5192">
            <v>0</v>
          </cell>
        </row>
        <row r="5193">
          <cell r="A5193">
            <v>0</v>
          </cell>
          <cell r="K5193">
            <v>0</v>
          </cell>
        </row>
        <row r="5194">
          <cell r="A5194">
            <v>0</v>
          </cell>
          <cell r="K5194">
            <v>0</v>
          </cell>
        </row>
        <row r="5195">
          <cell r="A5195">
            <v>0</v>
          </cell>
          <cell r="K5195">
            <v>0</v>
          </cell>
        </row>
        <row r="5196">
          <cell r="A5196">
            <v>0</v>
          </cell>
          <cell r="K5196">
            <v>0</v>
          </cell>
        </row>
        <row r="5197">
          <cell r="A5197">
            <v>0</v>
          </cell>
          <cell r="K5197">
            <v>0</v>
          </cell>
        </row>
        <row r="5198">
          <cell r="A5198">
            <v>0</v>
          </cell>
          <cell r="K5198">
            <v>0</v>
          </cell>
        </row>
        <row r="5199">
          <cell r="A5199">
            <v>0</v>
          </cell>
          <cell r="K5199">
            <v>0</v>
          </cell>
        </row>
        <row r="5200">
          <cell r="A5200">
            <v>0</v>
          </cell>
          <cell r="K5200">
            <v>0</v>
          </cell>
        </row>
        <row r="5201">
          <cell r="A5201">
            <v>0</v>
          </cell>
          <cell r="K5201">
            <v>0</v>
          </cell>
        </row>
        <row r="5202">
          <cell r="A5202">
            <v>0</v>
          </cell>
          <cell r="K5202">
            <v>0</v>
          </cell>
        </row>
        <row r="5203">
          <cell r="A5203">
            <v>0</v>
          </cell>
          <cell r="K5203">
            <v>0</v>
          </cell>
        </row>
        <row r="5204">
          <cell r="A5204">
            <v>0</v>
          </cell>
          <cell r="K5204">
            <v>0</v>
          </cell>
        </row>
        <row r="5205">
          <cell r="A5205">
            <v>0</v>
          </cell>
          <cell r="K5205">
            <v>0</v>
          </cell>
        </row>
        <row r="5206">
          <cell r="A5206">
            <v>0</v>
          </cell>
          <cell r="K5206">
            <v>0</v>
          </cell>
        </row>
        <row r="5207">
          <cell r="A5207">
            <v>0</v>
          </cell>
          <cell r="K5207">
            <v>0</v>
          </cell>
        </row>
        <row r="5208">
          <cell r="A5208">
            <v>0</v>
          </cell>
          <cell r="K5208">
            <v>0</v>
          </cell>
        </row>
        <row r="5209">
          <cell r="A5209">
            <v>0</v>
          </cell>
          <cell r="K5209">
            <v>0</v>
          </cell>
        </row>
        <row r="5210">
          <cell r="A5210">
            <v>0</v>
          </cell>
          <cell r="K5210">
            <v>0</v>
          </cell>
        </row>
        <row r="5211">
          <cell r="A5211">
            <v>0</v>
          </cell>
          <cell r="K5211">
            <v>0</v>
          </cell>
        </row>
        <row r="5212">
          <cell r="A5212">
            <v>0</v>
          </cell>
          <cell r="K5212">
            <v>0</v>
          </cell>
        </row>
        <row r="5213">
          <cell r="A5213">
            <v>0</v>
          </cell>
          <cell r="K5213">
            <v>0</v>
          </cell>
        </row>
        <row r="5214">
          <cell r="A5214">
            <v>0</v>
          </cell>
          <cell r="K5214">
            <v>0</v>
          </cell>
        </row>
        <row r="5215">
          <cell r="A5215">
            <v>0</v>
          </cell>
          <cell r="K5215">
            <v>0</v>
          </cell>
        </row>
        <row r="5216">
          <cell r="A5216">
            <v>0</v>
          </cell>
          <cell r="K5216">
            <v>0</v>
          </cell>
        </row>
        <row r="5217">
          <cell r="A5217">
            <v>0</v>
          </cell>
          <cell r="K5217">
            <v>0</v>
          </cell>
        </row>
        <row r="5218">
          <cell r="A5218">
            <v>0</v>
          </cell>
          <cell r="K5218">
            <v>0</v>
          </cell>
        </row>
        <row r="5219">
          <cell r="A5219">
            <v>0</v>
          </cell>
          <cell r="K5219">
            <v>0</v>
          </cell>
        </row>
        <row r="5220">
          <cell r="A5220">
            <v>0</v>
          </cell>
          <cell r="K5220">
            <v>0</v>
          </cell>
        </row>
        <row r="5221">
          <cell r="A5221">
            <v>0</v>
          </cell>
          <cell r="K5221">
            <v>0</v>
          </cell>
        </row>
        <row r="5222">
          <cell r="A5222">
            <v>0</v>
          </cell>
          <cell r="K5222">
            <v>0</v>
          </cell>
        </row>
        <row r="5223">
          <cell r="A5223">
            <v>0</v>
          </cell>
          <cell r="K5223">
            <v>0</v>
          </cell>
        </row>
        <row r="5224">
          <cell r="A5224">
            <v>0</v>
          </cell>
          <cell r="K5224">
            <v>0</v>
          </cell>
        </row>
        <row r="5225">
          <cell r="A5225">
            <v>0</v>
          </cell>
          <cell r="K5225">
            <v>0</v>
          </cell>
        </row>
        <row r="5226">
          <cell r="A5226">
            <v>0</v>
          </cell>
          <cell r="K5226">
            <v>0</v>
          </cell>
        </row>
        <row r="5227">
          <cell r="A5227">
            <v>0</v>
          </cell>
          <cell r="K5227">
            <v>0</v>
          </cell>
        </row>
        <row r="5228">
          <cell r="A5228">
            <v>0</v>
          </cell>
          <cell r="K5228">
            <v>0</v>
          </cell>
        </row>
        <row r="5229">
          <cell r="A5229">
            <v>0</v>
          </cell>
          <cell r="K5229">
            <v>0</v>
          </cell>
        </row>
        <row r="5230">
          <cell r="A5230">
            <v>0</v>
          </cell>
          <cell r="K5230">
            <v>0</v>
          </cell>
        </row>
        <row r="5231">
          <cell r="A5231">
            <v>0</v>
          </cell>
          <cell r="K5231">
            <v>0</v>
          </cell>
        </row>
        <row r="5232">
          <cell r="A5232">
            <v>0</v>
          </cell>
          <cell r="K5232">
            <v>0</v>
          </cell>
        </row>
        <row r="5233">
          <cell r="A5233">
            <v>0</v>
          </cell>
          <cell r="K5233">
            <v>0</v>
          </cell>
        </row>
        <row r="5234">
          <cell r="A5234">
            <v>0</v>
          </cell>
          <cell r="K5234">
            <v>0</v>
          </cell>
        </row>
        <row r="5235">
          <cell r="A5235">
            <v>0</v>
          </cell>
          <cell r="K5235">
            <v>0</v>
          </cell>
        </row>
        <row r="5236">
          <cell r="A5236">
            <v>0</v>
          </cell>
          <cell r="K5236">
            <v>0</v>
          </cell>
        </row>
        <row r="5237">
          <cell r="A5237">
            <v>0</v>
          </cell>
          <cell r="K5237">
            <v>0</v>
          </cell>
        </row>
        <row r="5238">
          <cell r="A5238">
            <v>0</v>
          </cell>
          <cell r="K5238">
            <v>0</v>
          </cell>
        </row>
        <row r="5239">
          <cell r="A5239">
            <v>0</v>
          </cell>
          <cell r="K5239">
            <v>0</v>
          </cell>
        </row>
        <row r="5240">
          <cell r="A5240">
            <v>0</v>
          </cell>
          <cell r="K5240">
            <v>0</v>
          </cell>
        </row>
        <row r="5241">
          <cell r="A5241">
            <v>0</v>
          </cell>
          <cell r="K5241">
            <v>0</v>
          </cell>
        </row>
        <row r="5242">
          <cell r="A5242">
            <v>0</v>
          </cell>
          <cell r="K5242">
            <v>0</v>
          </cell>
        </row>
        <row r="5243">
          <cell r="A5243">
            <v>0</v>
          </cell>
          <cell r="K5243">
            <v>0</v>
          </cell>
        </row>
        <row r="5244">
          <cell r="A5244">
            <v>0</v>
          </cell>
          <cell r="K5244">
            <v>0</v>
          </cell>
        </row>
        <row r="5245">
          <cell r="A5245">
            <v>0</v>
          </cell>
          <cell r="K5245">
            <v>0</v>
          </cell>
        </row>
        <row r="5246">
          <cell r="A5246">
            <v>0</v>
          </cell>
          <cell r="K5246">
            <v>0</v>
          </cell>
        </row>
        <row r="5247">
          <cell r="A5247">
            <v>0</v>
          </cell>
          <cell r="K5247">
            <v>0</v>
          </cell>
        </row>
        <row r="5248">
          <cell r="A5248">
            <v>0</v>
          </cell>
          <cell r="K5248">
            <v>0</v>
          </cell>
        </row>
        <row r="5249">
          <cell r="A5249">
            <v>0</v>
          </cell>
          <cell r="K5249">
            <v>0</v>
          </cell>
        </row>
        <row r="5250">
          <cell r="A5250">
            <v>0</v>
          </cell>
          <cell r="K5250">
            <v>0</v>
          </cell>
        </row>
        <row r="5251">
          <cell r="A5251">
            <v>0</v>
          </cell>
          <cell r="K5251">
            <v>0</v>
          </cell>
        </row>
        <row r="5252">
          <cell r="A5252">
            <v>0</v>
          </cell>
          <cell r="K5252">
            <v>0</v>
          </cell>
        </row>
        <row r="5253">
          <cell r="A5253">
            <v>0</v>
          </cell>
          <cell r="K5253">
            <v>0</v>
          </cell>
        </row>
        <row r="5254">
          <cell r="A5254">
            <v>0</v>
          </cell>
          <cell r="K5254">
            <v>0</v>
          </cell>
        </row>
        <row r="5255">
          <cell r="A5255">
            <v>0</v>
          </cell>
          <cell r="K5255">
            <v>0</v>
          </cell>
        </row>
        <row r="5256">
          <cell r="A5256">
            <v>0</v>
          </cell>
          <cell r="K5256">
            <v>0</v>
          </cell>
        </row>
        <row r="5257">
          <cell r="A5257">
            <v>0</v>
          </cell>
          <cell r="K5257">
            <v>0</v>
          </cell>
        </row>
        <row r="5258">
          <cell r="A5258">
            <v>0</v>
          </cell>
          <cell r="K5258">
            <v>0</v>
          </cell>
        </row>
        <row r="5259">
          <cell r="A5259">
            <v>0</v>
          </cell>
          <cell r="K5259">
            <v>0</v>
          </cell>
        </row>
        <row r="5260">
          <cell r="A5260">
            <v>0</v>
          </cell>
          <cell r="K5260">
            <v>0</v>
          </cell>
        </row>
        <row r="5261">
          <cell r="A5261">
            <v>0</v>
          </cell>
          <cell r="K5261">
            <v>0</v>
          </cell>
        </row>
        <row r="5262">
          <cell r="A5262">
            <v>0</v>
          </cell>
          <cell r="K5262">
            <v>0</v>
          </cell>
        </row>
        <row r="5263">
          <cell r="A5263">
            <v>0</v>
          </cell>
          <cell r="K5263">
            <v>0</v>
          </cell>
        </row>
        <row r="5264">
          <cell r="A5264">
            <v>0</v>
          </cell>
          <cell r="K5264">
            <v>0</v>
          </cell>
        </row>
        <row r="5265">
          <cell r="A5265">
            <v>0</v>
          </cell>
          <cell r="K5265">
            <v>0</v>
          </cell>
        </row>
        <row r="5266">
          <cell r="A5266">
            <v>0</v>
          </cell>
          <cell r="K5266">
            <v>0</v>
          </cell>
        </row>
        <row r="5267">
          <cell r="A5267">
            <v>0</v>
          </cell>
          <cell r="K5267">
            <v>0</v>
          </cell>
        </row>
        <row r="5268">
          <cell r="A5268">
            <v>0</v>
          </cell>
          <cell r="K5268">
            <v>0</v>
          </cell>
        </row>
        <row r="5269">
          <cell r="A5269">
            <v>0</v>
          </cell>
          <cell r="K5269">
            <v>0</v>
          </cell>
        </row>
        <row r="5270">
          <cell r="A5270">
            <v>0</v>
          </cell>
          <cell r="K5270">
            <v>0</v>
          </cell>
        </row>
        <row r="5271">
          <cell r="A5271">
            <v>0</v>
          </cell>
          <cell r="K5271">
            <v>0</v>
          </cell>
        </row>
        <row r="5272">
          <cell r="A5272">
            <v>0</v>
          </cell>
          <cell r="K5272">
            <v>0</v>
          </cell>
        </row>
        <row r="5273">
          <cell r="A5273">
            <v>0</v>
          </cell>
          <cell r="K5273">
            <v>0</v>
          </cell>
        </row>
        <row r="5274">
          <cell r="A5274">
            <v>0</v>
          </cell>
          <cell r="K5274">
            <v>0</v>
          </cell>
        </row>
        <row r="5275">
          <cell r="A5275">
            <v>0</v>
          </cell>
          <cell r="K5275">
            <v>0</v>
          </cell>
        </row>
        <row r="5276">
          <cell r="A5276">
            <v>0</v>
          </cell>
          <cell r="K5276">
            <v>0</v>
          </cell>
        </row>
        <row r="5277">
          <cell r="A5277">
            <v>0</v>
          </cell>
          <cell r="K5277">
            <v>0</v>
          </cell>
        </row>
        <row r="5278">
          <cell r="A5278">
            <v>0</v>
          </cell>
          <cell r="K5278">
            <v>0</v>
          </cell>
        </row>
        <row r="5279">
          <cell r="A5279">
            <v>0</v>
          </cell>
          <cell r="K5279">
            <v>0</v>
          </cell>
        </row>
        <row r="5280">
          <cell r="A5280">
            <v>0</v>
          </cell>
          <cell r="K5280">
            <v>0</v>
          </cell>
        </row>
        <row r="5281">
          <cell r="A5281">
            <v>0</v>
          </cell>
          <cell r="K5281">
            <v>0</v>
          </cell>
        </row>
        <row r="5282">
          <cell r="A5282">
            <v>0</v>
          </cell>
          <cell r="K5282">
            <v>0</v>
          </cell>
        </row>
        <row r="5283">
          <cell r="A5283">
            <v>0</v>
          </cell>
          <cell r="K5283">
            <v>0</v>
          </cell>
        </row>
        <row r="5284">
          <cell r="A5284">
            <v>0</v>
          </cell>
          <cell r="K5284">
            <v>0</v>
          </cell>
        </row>
        <row r="5285">
          <cell r="A5285">
            <v>0</v>
          </cell>
          <cell r="K5285">
            <v>0</v>
          </cell>
        </row>
        <row r="5286">
          <cell r="A5286">
            <v>0</v>
          </cell>
          <cell r="K5286">
            <v>0</v>
          </cell>
        </row>
        <row r="5287">
          <cell r="A5287">
            <v>0</v>
          </cell>
          <cell r="K5287">
            <v>0</v>
          </cell>
        </row>
        <row r="5288">
          <cell r="A5288">
            <v>0</v>
          </cell>
          <cell r="K5288">
            <v>0</v>
          </cell>
        </row>
        <row r="5289">
          <cell r="A5289">
            <v>0</v>
          </cell>
          <cell r="K5289">
            <v>0</v>
          </cell>
        </row>
        <row r="5290">
          <cell r="A5290">
            <v>0</v>
          </cell>
          <cell r="K5290">
            <v>0</v>
          </cell>
        </row>
        <row r="5291">
          <cell r="A5291">
            <v>0</v>
          </cell>
          <cell r="K5291">
            <v>0</v>
          </cell>
        </row>
        <row r="5292">
          <cell r="A5292">
            <v>0</v>
          </cell>
          <cell r="K5292">
            <v>0</v>
          </cell>
        </row>
        <row r="5293">
          <cell r="A5293">
            <v>0</v>
          </cell>
          <cell r="K5293">
            <v>0</v>
          </cell>
        </row>
        <row r="5294">
          <cell r="A5294">
            <v>0</v>
          </cell>
          <cell r="K5294">
            <v>0</v>
          </cell>
        </row>
        <row r="5295">
          <cell r="A5295">
            <v>0</v>
          </cell>
          <cell r="K5295">
            <v>0</v>
          </cell>
        </row>
        <row r="5296">
          <cell r="A5296">
            <v>0</v>
          </cell>
          <cell r="K5296">
            <v>0</v>
          </cell>
        </row>
        <row r="5297">
          <cell r="A5297">
            <v>0</v>
          </cell>
          <cell r="K5297">
            <v>0</v>
          </cell>
        </row>
        <row r="5298">
          <cell r="A5298">
            <v>0</v>
          </cell>
          <cell r="K5298">
            <v>0</v>
          </cell>
        </row>
        <row r="5299">
          <cell r="A5299">
            <v>0</v>
          </cell>
          <cell r="K5299">
            <v>0</v>
          </cell>
        </row>
        <row r="5300">
          <cell r="A5300">
            <v>0</v>
          </cell>
          <cell r="K5300">
            <v>0</v>
          </cell>
        </row>
        <row r="5301">
          <cell r="A5301">
            <v>0</v>
          </cell>
          <cell r="K5301">
            <v>0</v>
          </cell>
        </row>
        <row r="5302">
          <cell r="A5302">
            <v>0</v>
          </cell>
          <cell r="K5302">
            <v>0</v>
          </cell>
        </row>
        <row r="5303">
          <cell r="A5303">
            <v>0</v>
          </cell>
          <cell r="K5303">
            <v>0</v>
          </cell>
        </row>
        <row r="5304">
          <cell r="A5304">
            <v>0</v>
          </cell>
          <cell r="K5304">
            <v>0</v>
          </cell>
        </row>
        <row r="5305">
          <cell r="A5305">
            <v>0</v>
          </cell>
          <cell r="K5305">
            <v>0</v>
          </cell>
        </row>
        <row r="5306">
          <cell r="A5306">
            <v>0</v>
          </cell>
          <cell r="K5306">
            <v>0</v>
          </cell>
        </row>
        <row r="5307">
          <cell r="A5307">
            <v>0</v>
          </cell>
          <cell r="K5307">
            <v>0</v>
          </cell>
        </row>
        <row r="5308">
          <cell r="A5308">
            <v>0</v>
          </cell>
          <cell r="K5308">
            <v>0</v>
          </cell>
        </row>
        <row r="5309">
          <cell r="A5309">
            <v>0</v>
          </cell>
          <cell r="K5309">
            <v>0</v>
          </cell>
        </row>
        <row r="5310">
          <cell r="A5310">
            <v>0</v>
          </cell>
          <cell r="K5310">
            <v>0</v>
          </cell>
        </row>
        <row r="5311">
          <cell r="A5311">
            <v>0</v>
          </cell>
          <cell r="K5311">
            <v>0</v>
          </cell>
        </row>
        <row r="5312">
          <cell r="A5312">
            <v>0</v>
          </cell>
          <cell r="K5312">
            <v>0</v>
          </cell>
        </row>
        <row r="5313">
          <cell r="A5313">
            <v>0</v>
          </cell>
          <cell r="K5313">
            <v>0</v>
          </cell>
        </row>
        <row r="5314">
          <cell r="A5314">
            <v>0</v>
          </cell>
          <cell r="K5314">
            <v>0</v>
          </cell>
        </row>
        <row r="5315">
          <cell r="A5315">
            <v>0</v>
          </cell>
          <cell r="K5315">
            <v>0</v>
          </cell>
        </row>
        <row r="5316">
          <cell r="A5316">
            <v>0</v>
          </cell>
          <cell r="K5316">
            <v>0</v>
          </cell>
        </row>
        <row r="5317">
          <cell r="A5317">
            <v>0</v>
          </cell>
          <cell r="K5317">
            <v>0</v>
          </cell>
        </row>
        <row r="5318">
          <cell r="A5318">
            <v>0</v>
          </cell>
          <cell r="K5318">
            <v>0</v>
          </cell>
        </row>
        <row r="5319">
          <cell r="A5319">
            <v>0</v>
          </cell>
          <cell r="K5319">
            <v>0</v>
          </cell>
        </row>
        <row r="5320">
          <cell r="A5320">
            <v>0</v>
          </cell>
          <cell r="K5320">
            <v>0</v>
          </cell>
        </row>
        <row r="5321">
          <cell r="A5321">
            <v>0</v>
          </cell>
          <cell r="K5321">
            <v>0</v>
          </cell>
        </row>
        <row r="5322">
          <cell r="A5322">
            <v>0</v>
          </cell>
          <cell r="K5322">
            <v>0</v>
          </cell>
        </row>
        <row r="5323">
          <cell r="A5323">
            <v>0</v>
          </cell>
          <cell r="K5323">
            <v>0</v>
          </cell>
        </row>
        <row r="5324">
          <cell r="A5324">
            <v>0</v>
          </cell>
          <cell r="K5324">
            <v>0</v>
          </cell>
        </row>
        <row r="5325">
          <cell r="A5325">
            <v>0</v>
          </cell>
          <cell r="K5325">
            <v>0</v>
          </cell>
        </row>
        <row r="5326">
          <cell r="A5326">
            <v>0</v>
          </cell>
          <cell r="K5326">
            <v>0</v>
          </cell>
        </row>
        <row r="5327">
          <cell r="A5327">
            <v>0</v>
          </cell>
          <cell r="K5327">
            <v>0</v>
          </cell>
        </row>
        <row r="5328">
          <cell r="A5328">
            <v>0</v>
          </cell>
          <cell r="K5328">
            <v>0</v>
          </cell>
        </row>
        <row r="5329">
          <cell r="A5329">
            <v>0</v>
          </cell>
          <cell r="K5329">
            <v>0</v>
          </cell>
        </row>
        <row r="5330">
          <cell r="A5330">
            <v>0</v>
          </cell>
          <cell r="K5330">
            <v>0</v>
          </cell>
        </row>
        <row r="5331">
          <cell r="A5331">
            <v>0</v>
          </cell>
          <cell r="K5331">
            <v>0</v>
          </cell>
        </row>
        <row r="5332">
          <cell r="A5332">
            <v>0</v>
          </cell>
          <cell r="K5332">
            <v>0</v>
          </cell>
        </row>
        <row r="5333">
          <cell r="A5333">
            <v>0</v>
          </cell>
          <cell r="K5333">
            <v>0</v>
          </cell>
        </row>
        <row r="5334">
          <cell r="A5334">
            <v>0</v>
          </cell>
          <cell r="K5334">
            <v>0</v>
          </cell>
        </row>
        <row r="5335">
          <cell r="A5335">
            <v>0</v>
          </cell>
          <cell r="K5335">
            <v>0</v>
          </cell>
        </row>
        <row r="5336">
          <cell r="A5336">
            <v>0</v>
          </cell>
          <cell r="K5336">
            <v>0</v>
          </cell>
        </row>
        <row r="5337">
          <cell r="A5337">
            <v>0</v>
          </cell>
          <cell r="K5337">
            <v>0</v>
          </cell>
        </row>
        <row r="5338">
          <cell r="A5338">
            <v>0</v>
          </cell>
          <cell r="K5338">
            <v>0</v>
          </cell>
        </row>
        <row r="5339">
          <cell r="A5339">
            <v>0</v>
          </cell>
          <cell r="K5339">
            <v>0</v>
          </cell>
        </row>
        <row r="5340">
          <cell r="A5340">
            <v>0</v>
          </cell>
          <cell r="K5340">
            <v>0</v>
          </cell>
        </row>
        <row r="5341">
          <cell r="A5341">
            <v>0</v>
          </cell>
          <cell r="K5341">
            <v>0</v>
          </cell>
        </row>
        <row r="5342">
          <cell r="A5342">
            <v>0</v>
          </cell>
          <cell r="K5342">
            <v>0</v>
          </cell>
        </row>
        <row r="5343">
          <cell r="A5343">
            <v>0</v>
          </cell>
          <cell r="K5343">
            <v>0</v>
          </cell>
        </row>
        <row r="5344">
          <cell r="A5344">
            <v>0</v>
          </cell>
          <cell r="K5344">
            <v>0</v>
          </cell>
        </row>
        <row r="5345">
          <cell r="A5345">
            <v>0</v>
          </cell>
          <cell r="K5345">
            <v>0</v>
          </cell>
        </row>
        <row r="5346">
          <cell r="A5346">
            <v>0</v>
          </cell>
          <cell r="K5346">
            <v>0</v>
          </cell>
        </row>
        <row r="5347">
          <cell r="A5347">
            <v>0</v>
          </cell>
          <cell r="K5347">
            <v>0</v>
          </cell>
        </row>
        <row r="5348">
          <cell r="A5348">
            <v>0</v>
          </cell>
          <cell r="K5348">
            <v>0</v>
          </cell>
        </row>
        <row r="5349">
          <cell r="A5349">
            <v>0</v>
          </cell>
          <cell r="K5349">
            <v>0</v>
          </cell>
        </row>
        <row r="5350">
          <cell r="A5350">
            <v>0</v>
          </cell>
          <cell r="K5350">
            <v>0</v>
          </cell>
        </row>
        <row r="5351">
          <cell r="A5351">
            <v>0</v>
          </cell>
          <cell r="K5351">
            <v>0</v>
          </cell>
        </row>
        <row r="5352">
          <cell r="A5352">
            <v>0</v>
          </cell>
          <cell r="K5352">
            <v>0</v>
          </cell>
        </row>
        <row r="5353">
          <cell r="A5353">
            <v>0</v>
          </cell>
          <cell r="K5353">
            <v>0</v>
          </cell>
        </row>
        <row r="5354">
          <cell r="A5354">
            <v>0</v>
          </cell>
          <cell r="K5354">
            <v>0</v>
          </cell>
        </row>
        <row r="5355">
          <cell r="A5355">
            <v>0</v>
          </cell>
          <cell r="K5355">
            <v>0</v>
          </cell>
        </row>
        <row r="5356">
          <cell r="A5356">
            <v>0</v>
          </cell>
          <cell r="K5356">
            <v>0</v>
          </cell>
        </row>
        <row r="5357">
          <cell r="A5357">
            <v>0</v>
          </cell>
          <cell r="K5357">
            <v>0</v>
          </cell>
        </row>
        <row r="5358">
          <cell r="A5358">
            <v>0</v>
          </cell>
          <cell r="K5358">
            <v>0</v>
          </cell>
        </row>
        <row r="5359">
          <cell r="A5359">
            <v>0</v>
          </cell>
          <cell r="K5359">
            <v>0</v>
          </cell>
        </row>
        <row r="5360">
          <cell r="A5360">
            <v>0</v>
          </cell>
          <cell r="K5360">
            <v>0</v>
          </cell>
        </row>
        <row r="5361">
          <cell r="A5361">
            <v>0</v>
          </cell>
          <cell r="K5361">
            <v>0</v>
          </cell>
        </row>
        <row r="5362">
          <cell r="A5362">
            <v>0</v>
          </cell>
          <cell r="K5362">
            <v>0</v>
          </cell>
        </row>
        <row r="5363">
          <cell r="A5363">
            <v>0</v>
          </cell>
          <cell r="K5363">
            <v>0</v>
          </cell>
        </row>
        <row r="5364">
          <cell r="A5364">
            <v>0</v>
          </cell>
          <cell r="K5364">
            <v>0</v>
          </cell>
        </row>
        <row r="5365">
          <cell r="A5365">
            <v>0</v>
          </cell>
          <cell r="K5365">
            <v>0</v>
          </cell>
        </row>
        <row r="5366">
          <cell r="A5366">
            <v>0</v>
          </cell>
          <cell r="K5366">
            <v>0</v>
          </cell>
        </row>
        <row r="5367">
          <cell r="A5367">
            <v>0</v>
          </cell>
          <cell r="K5367">
            <v>0</v>
          </cell>
        </row>
        <row r="5368">
          <cell r="A5368">
            <v>0</v>
          </cell>
          <cell r="K5368">
            <v>0</v>
          </cell>
        </row>
        <row r="5369">
          <cell r="A5369">
            <v>0</v>
          </cell>
          <cell r="K5369">
            <v>0</v>
          </cell>
        </row>
        <row r="5370">
          <cell r="A5370">
            <v>0</v>
          </cell>
          <cell r="K5370">
            <v>0</v>
          </cell>
        </row>
        <row r="5371">
          <cell r="A5371">
            <v>0</v>
          </cell>
          <cell r="K5371">
            <v>0</v>
          </cell>
        </row>
        <row r="5372">
          <cell r="A5372">
            <v>0</v>
          </cell>
          <cell r="K5372">
            <v>0</v>
          </cell>
        </row>
        <row r="5373">
          <cell r="A5373">
            <v>0</v>
          </cell>
          <cell r="K5373">
            <v>0</v>
          </cell>
        </row>
        <row r="5374">
          <cell r="A5374">
            <v>0</v>
          </cell>
          <cell r="K5374">
            <v>0</v>
          </cell>
        </row>
        <row r="5375">
          <cell r="A5375">
            <v>0</v>
          </cell>
          <cell r="K5375">
            <v>0</v>
          </cell>
        </row>
        <row r="5376">
          <cell r="A5376">
            <v>0</v>
          </cell>
          <cell r="K5376">
            <v>0</v>
          </cell>
        </row>
        <row r="5377">
          <cell r="A5377">
            <v>0</v>
          </cell>
          <cell r="K5377">
            <v>0</v>
          </cell>
        </row>
        <row r="5378">
          <cell r="A5378">
            <v>0</v>
          </cell>
          <cell r="K5378">
            <v>0</v>
          </cell>
        </row>
        <row r="5379">
          <cell r="A5379">
            <v>0</v>
          </cell>
          <cell r="K5379">
            <v>0</v>
          </cell>
        </row>
        <row r="5380">
          <cell r="A5380">
            <v>0</v>
          </cell>
          <cell r="K5380">
            <v>0</v>
          </cell>
        </row>
        <row r="5381">
          <cell r="A5381">
            <v>0</v>
          </cell>
          <cell r="K5381">
            <v>0</v>
          </cell>
        </row>
        <row r="5382">
          <cell r="A5382">
            <v>0</v>
          </cell>
          <cell r="K5382">
            <v>0</v>
          </cell>
        </row>
        <row r="5383">
          <cell r="A5383">
            <v>0</v>
          </cell>
          <cell r="K5383">
            <v>0</v>
          </cell>
        </row>
        <row r="5384">
          <cell r="A5384">
            <v>0</v>
          </cell>
          <cell r="K5384">
            <v>0</v>
          </cell>
        </row>
        <row r="5385">
          <cell r="A5385">
            <v>0</v>
          </cell>
          <cell r="K5385">
            <v>0</v>
          </cell>
        </row>
        <row r="5386">
          <cell r="A5386">
            <v>0</v>
          </cell>
          <cell r="K5386">
            <v>0</v>
          </cell>
        </row>
        <row r="5387">
          <cell r="A5387">
            <v>0</v>
          </cell>
          <cell r="K5387">
            <v>0</v>
          </cell>
        </row>
        <row r="5388">
          <cell r="A5388">
            <v>0</v>
          </cell>
          <cell r="K5388">
            <v>0</v>
          </cell>
        </row>
        <row r="5389">
          <cell r="A5389">
            <v>0</v>
          </cell>
          <cell r="K5389">
            <v>0</v>
          </cell>
        </row>
        <row r="5390">
          <cell r="A5390">
            <v>0</v>
          </cell>
          <cell r="K5390">
            <v>0</v>
          </cell>
        </row>
        <row r="5391">
          <cell r="A5391">
            <v>0</v>
          </cell>
          <cell r="K5391">
            <v>0</v>
          </cell>
        </row>
        <row r="5392">
          <cell r="A5392">
            <v>0</v>
          </cell>
          <cell r="K5392">
            <v>0</v>
          </cell>
        </row>
        <row r="5393">
          <cell r="A5393">
            <v>0</v>
          </cell>
          <cell r="K5393">
            <v>0</v>
          </cell>
        </row>
        <row r="5394">
          <cell r="A5394">
            <v>0</v>
          </cell>
          <cell r="K5394">
            <v>0</v>
          </cell>
        </row>
        <row r="5395">
          <cell r="A5395">
            <v>0</v>
          </cell>
          <cell r="K5395">
            <v>0</v>
          </cell>
        </row>
        <row r="5396">
          <cell r="A5396">
            <v>0</v>
          </cell>
          <cell r="K5396">
            <v>0</v>
          </cell>
        </row>
        <row r="5397">
          <cell r="A5397">
            <v>0</v>
          </cell>
          <cell r="K5397">
            <v>0</v>
          </cell>
        </row>
        <row r="5398">
          <cell r="A5398">
            <v>0</v>
          </cell>
          <cell r="K5398">
            <v>0</v>
          </cell>
        </row>
        <row r="5399">
          <cell r="A5399">
            <v>0</v>
          </cell>
          <cell r="K5399">
            <v>0</v>
          </cell>
        </row>
        <row r="5400">
          <cell r="A5400">
            <v>0</v>
          </cell>
          <cell r="K5400">
            <v>0</v>
          </cell>
        </row>
        <row r="5401">
          <cell r="A5401">
            <v>0</v>
          </cell>
          <cell r="K5401">
            <v>0</v>
          </cell>
        </row>
        <row r="5402">
          <cell r="A5402">
            <v>0</v>
          </cell>
          <cell r="K5402">
            <v>0</v>
          </cell>
        </row>
        <row r="5403">
          <cell r="A5403">
            <v>0</v>
          </cell>
          <cell r="K5403">
            <v>0</v>
          </cell>
        </row>
        <row r="5404">
          <cell r="A5404">
            <v>0</v>
          </cell>
          <cell r="K5404">
            <v>0</v>
          </cell>
        </row>
        <row r="5405">
          <cell r="A5405">
            <v>0</v>
          </cell>
          <cell r="K5405">
            <v>0</v>
          </cell>
        </row>
        <row r="5406">
          <cell r="A5406">
            <v>0</v>
          </cell>
          <cell r="K5406">
            <v>0</v>
          </cell>
        </row>
        <row r="5407">
          <cell r="A5407">
            <v>0</v>
          </cell>
          <cell r="K5407">
            <v>0</v>
          </cell>
        </row>
        <row r="5408">
          <cell r="A5408">
            <v>0</v>
          </cell>
          <cell r="K5408">
            <v>0</v>
          </cell>
        </row>
        <row r="5409">
          <cell r="A5409">
            <v>0</v>
          </cell>
          <cell r="K5409">
            <v>0</v>
          </cell>
        </row>
        <row r="5410">
          <cell r="A5410">
            <v>0</v>
          </cell>
          <cell r="K5410">
            <v>0</v>
          </cell>
        </row>
        <row r="5411">
          <cell r="A5411">
            <v>0</v>
          </cell>
          <cell r="K5411">
            <v>0</v>
          </cell>
        </row>
        <row r="5412">
          <cell r="A5412">
            <v>0</v>
          </cell>
          <cell r="K5412">
            <v>0</v>
          </cell>
        </row>
        <row r="5413">
          <cell r="A5413">
            <v>0</v>
          </cell>
          <cell r="K5413">
            <v>0</v>
          </cell>
        </row>
        <row r="5414">
          <cell r="A5414">
            <v>0</v>
          </cell>
          <cell r="K5414">
            <v>0</v>
          </cell>
        </row>
        <row r="5415">
          <cell r="A5415">
            <v>0</v>
          </cell>
          <cell r="K5415">
            <v>0</v>
          </cell>
        </row>
        <row r="5416">
          <cell r="A5416">
            <v>0</v>
          </cell>
          <cell r="K5416">
            <v>0</v>
          </cell>
        </row>
        <row r="5417">
          <cell r="A5417">
            <v>0</v>
          </cell>
          <cell r="K5417">
            <v>0</v>
          </cell>
        </row>
        <row r="5418">
          <cell r="A5418">
            <v>0</v>
          </cell>
          <cell r="K5418">
            <v>0</v>
          </cell>
        </row>
        <row r="5419">
          <cell r="A5419">
            <v>0</v>
          </cell>
          <cell r="K5419">
            <v>0</v>
          </cell>
        </row>
        <row r="5420">
          <cell r="A5420">
            <v>0</v>
          </cell>
          <cell r="K5420">
            <v>0</v>
          </cell>
        </row>
        <row r="5421">
          <cell r="A5421">
            <v>0</v>
          </cell>
          <cell r="K5421">
            <v>0</v>
          </cell>
        </row>
        <row r="5422">
          <cell r="A5422">
            <v>0</v>
          </cell>
          <cell r="K5422">
            <v>0</v>
          </cell>
        </row>
        <row r="5423">
          <cell r="A5423">
            <v>0</v>
          </cell>
          <cell r="K5423">
            <v>0</v>
          </cell>
        </row>
        <row r="5424">
          <cell r="A5424">
            <v>0</v>
          </cell>
          <cell r="K5424">
            <v>0</v>
          </cell>
        </row>
        <row r="5425">
          <cell r="A5425">
            <v>0</v>
          </cell>
          <cell r="K5425">
            <v>0</v>
          </cell>
        </row>
        <row r="5426">
          <cell r="A5426">
            <v>0</v>
          </cell>
          <cell r="K5426">
            <v>0</v>
          </cell>
        </row>
        <row r="5427">
          <cell r="A5427">
            <v>0</v>
          </cell>
          <cell r="K5427">
            <v>0</v>
          </cell>
        </row>
        <row r="5428">
          <cell r="A5428">
            <v>0</v>
          </cell>
          <cell r="K5428">
            <v>0</v>
          </cell>
        </row>
        <row r="5429">
          <cell r="A5429">
            <v>0</v>
          </cell>
          <cell r="K5429">
            <v>0</v>
          </cell>
        </row>
        <row r="5430">
          <cell r="A5430">
            <v>0</v>
          </cell>
          <cell r="K5430">
            <v>0</v>
          </cell>
        </row>
        <row r="5431">
          <cell r="A5431">
            <v>0</v>
          </cell>
          <cell r="K5431">
            <v>0</v>
          </cell>
        </row>
        <row r="5432">
          <cell r="A5432">
            <v>0</v>
          </cell>
          <cell r="K5432">
            <v>0</v>
          </cell>
        </row>
        <row r="5433">
          <cell r="A5433">
            <v>0</v>
          </cell>
          <cell r="K5433">
            <v>0</v>
          </cell>
        </row>
        <row r="5434">
          <cell r="A5434">
            <v>0</v>
          </cell>
          <cell r="K5434">
            <v>0</v>
          </cell>
        </row>
        <row r="5435">
          <cell r="A5435">
            <v>0</v>
          </cell>
          <cell r="K5435">
            <v>0</v>
          </cell>
        </row>
        <row r="5436">
          <cell r="A5436">
            <v>0</v>
          </cell>
          <cell r="K5436">
            <v>0</v>
          </cell>
        </row>
        <row r="5437">
          <cell r="A5437">
            <v>0</v>
          </cell>
          <cell r="K5437">
            <v>0</v>
          </cell>
        </row>
        <row r="5438">
          <cell r="A5438">
            <v>0</v>
          </cell>
          <cell r="K5438">
            <v>0</v>
          </cell>
        </row>
        <row r="5439">
          <cell r="A5439">
            <v>0</v>
          </cell>
          <cell r="K5439">
            <v>0</v>
          </cell>
        </row>
        <row r="5440">
          <cell r="A5440">
            <v>0</v>
          </cell>
          <cell r="K5440">
            <v>0</v>
          </cell>
        </row>
        <row r="5441">
          <cell r="A5441">
            <v>0</v>
          </cell>
          <cell r="K5441">
            <v>0</v>
          </cell>
        </row>
        <row r="5442">
          <cell r="A5442">
            <v>0</v>
          </cell>
          <cell r="K5442">
            <v>0</v>
          </cell>
        </row>
        <row r="5443">
          <cell r="A5443">
            <v>0</v>
          </cell>
          <cell r="K5443">
            <v>0</v>
          </cell>
        </row>
        <row r="5444">
          <cell r="A5444">
            <v>0</v>
          </cell>
          <cell r="K5444">
            <v>0</v>
          </cell>
        </row>
        <row r="5445">
          <cell r="A5445">
            <v>0</v>
          </cell>
          <cell r="K5445">
            <v>0</v>
          </cell>
        </row>
        <row r="5446">
          <cell r="A5446">
            <v>0</v>
          </cell>
          <cell r="K5446">
            <v>0</v>
          </cell>
        </row>
        <row r="5447">
          <cell r="A5447">
            <v>0</v>
          </cell>
          <cell r="K5447">
            <v>0</v>
          </cell>
        </row>
        <row r="5448">
          <cell r="A5448">
            <v>0</v>
          </cell>
          <cell r="K5448">
            <v>0</v>
          </cell>
        </row>
        <row r="5449">
          <cell r="A5449">
            <v>0</v>
          </cell>
          <cell r="K5449">
            <v>0</v>
          </cell>
        </row>
        <row r="5450">
          <cell r="A5450">
            <v>0</v>
          </cell>
          <cell r="K5450">
            <v>0</v>
          </cell>
        </row>
        <row r="5451">
          <cell r="A5451">
            <v>0</v>
          </cell>
          <cell r="K5451">
            <v>0</v>
          </cell>
        </row>
        <row r="5452">
          <cell r="A5452">
            <v>0</v>
          </cell>
          <cell r="K5452">
            <v>0</v>
          </cell>
        </row>
        <row r="5453">
          <cell r="A5453">
            <v>0</v>
          </cell>
          <cell r="K5453">
            <v>0</v>
          </cell>
        </row>
        <row r="5454">
          <cell r="A5454">
            <v>0</v>
          </cell>
          <cell r="K5454">
            <v>0</v>
          </cell>
        </row>
        <row r="5455">
          <cell r="A5455">
            <v>0</v>
          </cell>
          <cell r="K5455">
            <v>0</v>
          </cell>
        </row>
        <row r="5456">
          <cell r="A5456">
            <v>0</v>
          </cell>
          <cell r="K5456">
            <v>0</v>
          </cell>
        </row>
        <row r="5457">
          <cell r="A5457">
            <v>0</v>
          </cell>
          <cell r="K5457">
            <v>0</v>
          </cell>
        </row>
        <row r="5458">
          <cell r="A5458">
            <v>0</v>
          </cell>
          <cell r="K5458">
            <v>0</v>
          </cell>
        </row>
        <row r="5459">
          <cell r="A5459">
            <v>0</v>
          </cell>
          <cell r="K5459">
            <v>0</v>
          </cell>
        </row>
        <row r="5460">
          <cell r="A5460">
            <v>0</v>
          </cell>
          <cell r="K5460">
            <v>0</v>
          </cell>
        </row>
        <row r="5461">
          <cell r="A5461">
            <v>0</v>
          </cell>
          <cell r="K5461">
            <v>0</v>
          </cell>
        </row>
        <row r="5462">
          <cell r="A5462">
            <v>0</v>
          </cell>
          <cell r="K5462">
            <v>0</v>
          </cell>
        </row>
        <row r="5463">
          <cell r="A5463">
            <v>0</v>
          </cell>
          <cell r="K5463">
            <v>0</v>
          </cell>
        </row>
        <row r="5464">
          <cell r="A5464">
            <v>0</v>
          </cell>
          <cell r="K5464">
            <v>0</v>
          </cell>
        </row>
        <row r="5465">
          <cell r="A5465">
            <v>0</v>
          </cell>
          <cell r="K5465">
            <v>0</v>
          </cell>
        </row>
        <row r="5466">
          <cell r="A5466">
            <v>0</v>
          </cell>
          <cell r="K5466">
            <v>0</v>
          </cell>
        </row>
        <row r="5467">
          <cell r="A5467">
            <v>0</v>
          </cell>
          <cell r="K5467">
            <v>0</v>
          </cell>
        </row>
        <row r="5468">
          <cell r="A5468">
            <v>0</v>
          </cell>
          <cell r="K5468">
            <v>0</v>
          </cell>
        </row>
        <row r="5469">
          <cell r="A5469">
            <v>0</v>
          </cell>
          <cell r="K5469">
            <v>0</v>
          </cell>
        </row>
        <row r="5470">
          <cell r="A5470">
            <v>0</v>
          </cell>
          <cell r="K5470">
            <v>0</v>
          </cell>
        </row>
        <row r="5471">
          <cell r="A5471">
            <v>0</v>
          </cell>
          <cell r="K5471">
            <v>0</v>
          </cell>
        </row>
        <row r="5472">
          <cell r="A5472">
            <v>0</v>
          </cell>
          <cell r="K5472">
            <v>0</v>
          </cell>
        </row>
        <row r="5473">
          <cell r="A5473">
            <v>0</v>
          </cell>
          <cell r="K5473">
            <v>0</v>
          </cell>
        </row>
        <row r="5474">
          <cell r="A5474">
            <v>0</v>
          </cell>
          <cell r="K5474">
            <v>0</v>
          </cell>
        </row>
        <row r="5475">
          <cell r="A5475">
            <v>0</v>
          </cell>
          <cell r="K5475">
            <v>0</v>
          </cell>
        </row>
        <row r="5476">
          <cell r="A5476">
            <v>0</v>
          </cell>
          <cell r="K5476">
            <v>0</v>
          </cell>
        </row>
        <row r="5477">
          <cell r="A5477">
            <v>0</v>
          </cell>
          <cell r="K5477">
            <v>0</v>
          </cell>
        </row>
        <row r="5478">
          <cell r="A5478">
            <v>0</v>
          </cell>
          <cell r="K5478">
            <v>0</v>
          </cell>
        </row>
        <row r="5479">
          <cell r="A5479">
            <v>0</v>
          </cell>
          <cell r="K5479">
            <v>0</v>
          </cell>
        </row>
        <row r="5480">
          <cell r="A5480">
            <v>0</v>
          </cell>
          <cell r="K5480">
            <v>0</v>
          </cell>
        </row>
        <row r="5481">
          <cell r="A5481">
            <v>0</v>
          </cell>
          <cell r="K5481">
            <v>0</v>
          </cell>
        </row>
        <row r="5482">
          <cell r="A5482">
            <v>0</v>
          </cell>
          <cell r="K5482">
            <v>0</v>
          </cell>
        </row>
        <row r="5483">
          <cell r="A5483">
            <v>0</v>
          </cell>
          <cell r="K5483">
            <v>0</v>
          </cell>
        </row>
        <row r="5484">
          <cell r="A5484">
            <v>0</v>
          </cell>
          <cell r="K5484">
            <v>0</v>
          </cell>
        </row>
        <row r="5485">
          <cell r="A5485">
            <v>0</v>
          </cell>
          <cell r="K5485">
            <v>0</v>
          </cell>
        </row>
        <row r="5486">
          <cell r="A5486">
            <v>0</v>
          </cell>
          <cell r="K5486">
            <v>0</v>
          </cell>
        </row>
        <row r="5487">
          <cell r="A5487">
            <v>0</v>
          </cell>
          <cell r="K5487">
            <v>0</v>
          </cell>
        </row>
        <row r="5488">
          <cell r="A5488">
            <v>0</v>
          </cell>
          <cell r="K5488">
            <v>0</v>
          </cell>
        </row>
        <row r="5489">
          <cell r="A5489">
            <v>0</v>
          </cell>
          <cell r="K5489">
            <v>0</v>
          </cell>
        </row>
        <row r="5490">
          <cell r="A5490">
            <v>0</v>
          </cell>
          <cell r="K5490">
            <v>0</v>
          </cell>
        </row>
        <row r="5491">
          <cell r="A5491">
            <v>0</v>
          </cell>
          <cell r="K5491">
            <v>0</v>
          </cell>
        </row>
        <row r="5492">
          <cell r="A5492">
            <v>0</v>
          </cell>
          <cell r="K5492">
            <v>0</v>
          </cell>
        </row>
        <row r="5493">
          <cell r="A5493">
            <v>0</v>
          </cell>
          <cell r="K5493">
            <v>0</v>
          </cell>
        </row>
        <row r="5494">
          <cell r="A5494">
            <v>0</v>
          </cell>
          <cell r="K5494">
            <v>0</v>
          </cell>
        </row>
        <row r="5495">
          <cell r="A5495">
            <v>0</v>
          </cell>
          <cell r="K5495">
            <v>0</v>
          </cell>
        </row>
        <row r="5496">
          <cell r="A5496">
            <v>0</v>
          </cell>
          <cell r="K5496">
            <v>0</v>
          </cell>
        </row>
        <row r="5497">
          <cell r="A5497">
            <v>0</v>
          </cell>
          <cell r="K5497">
            <v>0</v>
          </cell>
        </row>
        <row r="5498">
          <cell r="A5498">
            <v>0</v>
          </cell>
          <cell r="K5498">
            <v>0</v>
          </cell>
        </row>
        <row r="5499">
          <cell r="A5499">
            <v>0</v>
          </cell>
          <cell r="K5499">
            <v>0</v>
          </cell>
        </row>
        <row r="5500">
          <cell r="A5500">
            <v>0</v>
          </cell>
          <cell r="K5500">
            <v>0</v>
          </cell>
        </row>
        <row r="5501">
          <cell r="A5501">
            <v>0</v>
          </cell>
          <cell r="K5501">
            <v>0</v>
          </cell>
        </row>
        <row r="5502">
          <cell r="A5502">
            <v>0</v>
          </cell>
          <cell r="K5502">
            <v>0</v>
          </cell>
        </row>
        <row r="5503">
          <cell r="A5503">
            <v>0</v>
          </cell>
          <cell r="K5503">
            <v>0</v>
          </cell>
        </row>
        <row r="5504">
          <cell r="A5504">
            <v>0</v>
          </cell>
          <cell r="K5504">
            <v>0</v>
          </cell>
        </row>
        <row r="5505">
          <cell r="A5505">
            <v>0</v>
          </cell>
          <cell r="K5505">
            <v>0</v>
          </cell>
        </row>
        <row r="5506">
          <cell r="A5506">
            <v>0</v>
          </cell>
          <cell r="K5506">
            <v>0</v>
          </cell>
        </row>
        <row r="5507">
          <cell r="A5507">
            <v>0</v>
          </cell>
          <cell r="K5507">
            <v>0</v>
          </cell>
        </row>
        <row r="5508">
          <cell r="A5508">
            <v>0</v>
          </cell>
          <cell r="K5508">
            <v>0</v>
          </cell>
        </row>
        <row r="5509">
          <cell r="A5509">
            <v>0</v>
          </cell>
          <cell r="K5509">
            <v>0</v>
          </cell>
        </row>
        <row r="5510">
          <cell r="A5510">
            <v>0</v>
          </cell>
          <cell r="K5510">
            <v>0</v>
          </cell>
        </row>
        <row r="5511">
          <cell r="A5511">
            <v>0</v>
          </cell>
          <cell r="K5511">
            <v>0</v>
          </cell>
        </row>
        <row r="5512">
          <cell r="A5512">
            <v>0</v>
          </cell>
          <cell r="K5512">
            <v>0</v>
          </cell>
        </row>
        <row r="5513">
          <cell r="A5513">
            <v>0</v>
          </cell>
          <cell r="K5513">
            <v>0</v>
          </cell>
        </row>
        <row r="5514">
          <cell r="A5514">
            <v>0</v>
          </cell>
          <cell r="K5514">
            <v>0</v>
          </cell>
        </row>
        <row r="5515">
          <cell r="A5515">
            <v>0</v>
          </cell>
          <cell r="K5515">
            <v>0</v>
          </cell>
        </row>
        <row r="5516">
          <cell r="A5516">
            <v>0</v>
          </cell>
          <cell r="K5516">
            <v>0</v>
          </cell>
        </row>
        <row r="5517">
          <cell r="A5517">
            <v>0</v>
          </cell>
          <cell r="K5517">
            <v>0</v>
          </cell>
        </row>
        <row r="5518">
          <cell r="A5518">
            <v>0</v>
          </cell>
          <cell r="K5518">
            <v>0</v>
          </cell>
        </row>
        <row r="5519">
          <cell r="A5519">
            <v>0</v>
          </cell>
          <cell r="K5519">
            <v>0</v>
          </cell>
        </row>
        <row r="5520">
          <cell r="A5520">
            <v>0</v>
          </cell>
          <cell r="K5520">
            <v>0</v>
          </cell>
        </row>
        <row r="5521">
          <cell r="A5521">
            <v>0</v>
          </cell>
          <cell r="K5521">
            <v>0</v>
          </cell>
        </row>
        <row r="5522">
          <cell r="A5522">
            <v>0</v>
          </cell>
          <cell r="K5522">
            <v>0</v>
          </cell>
        </row>
        <row r="5523">
          <cell r="A5523">
            <v>0</v>
          </cell>
          <cell r="K5523">
            <v>0</v>
          </cell>
        </row>
        <row r="5524">
          <cell r="A5524">
            <v>0</v>
          </cell>
          <cell r="K5524">
            <v>0</v>
          </cell>
        </row>
        <row r="5525">
          <cell r="A5525">
            <v>0</v>
          </cell>
          <cell r="K5525">
            <v>0</v>
          </cell>
        </row>
        <row r="5526">
          <cell r="A5526">
            <v>0</v>
          </cell>
          <cell r="K5526">
            <v>0</v>
          </cell>
        </row>
        <row r="5527">
          <cell r="A5527">
            <v>0</v>
          </cell>
          <cell r="K5527">
            <v>0</v>
          </cell>
        </row>
        <row r="5528">
          <cell r="A5528">
            <v>0</v>
          </cell>
          <cell r="K5528">
            <v>0</v>
          </cell>
        </row>
        <row r="5529">
          <cell r="A5529">
            <v>0</v>
          </cell>
          <cell r="K5529">
            <v>0</v>
          </cell>
        </row>
        <row r="5530">
          <cell r="A5530">
            <v>0</v>
          </cell>
          <cell r="K5530">
            <v>0</v>
          </cell>
        </row>
        <row r="5531">
          <cell r="A5531">
            <v>0</v>
          </cell>
          <cell r="K5531">
            <v>0</v>
          </cell>
        </row>
        <row r="5532">
          <cell r="A5532">
            <v>0</v>
          </cell>
          <cell r="K5532">
            <v>0</v>
          </cell>
        </row>
        <row r="5533">
          <cell r="A5533">
            <v>0</v>
          </cell>
          <cell r="K5533">
            <v>0</v>
          </cell>
        </row>
        <row r="5534">
          <cell r="A5534">
            <v>0</v>
          </cell>
          <cell r="K5534">
            <v>0</v>
          </cell>
        </row>
        <row r="5535">
          <cell r="A5535">
            <v>0</v>
          </cell>
          <cell r="K5535">
            <v>0</v>
          </cell>
        </row>
        <row r="5536">
          <cell r="A5536">
            <v>0</v>
          </cell>
          <cell r="K5536">
            <v>0</v>
          </cell>
        </row>
        <row r="5537">
          <cell r="A5537">
            <v>0</v>
          </cell>
          <cell r="K5537">
            <v>0</v>
          </cell>
        </row>
        <row r="5538">
          <cell r="A5538">
            <v>0</v>
          </cell>
          <cell r="K5538">
            <v>0</v>
          </cell>
        </row>
        <row r="5539">
          <cell r="A5539">
            <v>0</v>
          </cell>
          <cell r="K5539">
            <v>0</v>
          </cell>
        </row>
        <row r="5540">
          <cell r="A5540">
            <v>0</v>
          </cell>
          <cell r="K5540">
            <v>0</v>
          </cell>
        </row>
        <row r="5541">
          <cell r="A5541">
            <v>0</v>
          </cell>
          <cell r="K5541">
            <v>0</v>
          </cell>
        </row>
        <row r="5542">
          <cell r="A5542">
            <v>0</v>
          </cell>
          <cell r="K5542">
            <v>0</v>
          </cell>
        </row>
        <row r="5543">
          <cell r="A5543">
            <v>0</v>
          </cell>
          <cell r="K5543">
            <v>0</v>
          </cell>
        </row>
        <row r="5544">
          <cell r="A5544">
            <v>0</v>
          </cell>
          <cell r="K5544">
            <v>0</v>
          </cell>
        </row>
        <row r="5545">
          <cell r="A5545">
            <v>0</v>
          </cell>
          <cell r="K5545">
            <v>0</v>
          </cell>
        </row>
        <row r="5546">
          <cell r="A5546">
            <v>0</v>
          </cell>
          <cell r="K5546">
            <v>0</v>
          </cell>
        </row>
        <row r="5547">
          <cell r="A5547">
            <v>0</v>
          </cell>
          <cell r="K5547">
            <v>0</v>
          </cell>
        </row>
        <row r="5548">
          <cell r="A5548">
            <v>0</v>
          </cell>
          <cell r="K5548">
            <v>0</v>
          </cell>
        </row>
        <row r="5549">
          <cell r="A5549">
            <v>0</v>
          </cell>
          <cell r="K5549">
            <v>0</v>
          </cell>
        </row>
        <row r="5550">
          <cell r="A5550">
            <v>0</v>
          </cell>
          <cell r="K5550">
            <v>0</v>
          </cell>
        </row>
        <row r="5551">
          <cell r="A5551">
            <v>0</v>
          </cell>
          <cell r="K5551">
            <v>0</v>
          </cell>
        </row>
        <row r="5552">
          <cell r="A5552">
            <v>0</v>
          </cell>
          <cell r="K5552">
            <v>0</v>
          </cell>
        </row>
        <row r="5553">
          <cell r="A5553">
            <v>0</v>
          </cell>
          <cell r="K5553">
            <v>0</v>
          </cell>
        </row>
        <row r="5554">
          <cell r="A5554">
            <v>0</v>
          </cell>
          <cell r="K5554">
            <v>0</v>
          </cell>
        </row>
        <row r="5555">
          <cell r="A5555">
            <v>0</v>
          </cell>
          <cell r="K5555">
            <v>0</v>
          </cell>
        </row>
        <row r="5556">
          <cell r="A5556">
            <v>0</v>
          </cell>
          <cell r="K5556">
            <v>0</v>
          </cell>
        </row>
        <row r="5557">
          <cell r="A5557">
            <v>0</v>
          </cell>
          <cell r="K5557">
            <v>0</v>
          </cell>
        </row>
        <row r="5558">
          <cell r="A5558">
            <v>0</v>
          </cell>
          <cell r="K5558">
            <v>0</v>
          </cell>
        </row>
        <row r="5559">
          <cell r="A5559">
            <v>0</v>
          </cell>
          <cell r="K5559">
            <v>0</v>
          </cell>
        </row>
        <row r="5560">
          <cell r="A5560">
            <v>0</v>
          </cell>
          <cell r="K5560">
            <v>0</v>
          </cell>
        </row>
        <row r="5561">
          <cell r="A5561">
            <v>0</v>
          </cell>
          <cell r="K5561">
            <v>0</v>
          </cell>
        </row>
        <row r="5562">
          <cell r="A5562">
            <v>0</v>
          </cell>
          <cell r="K5562">
            <v>0</v>
          </cell>
        </row>
        <row r="5563">
          <cell r="A5563">
            <v>0</v>
          </cell>
          <cell r="K5563">
            <v>0</v>
          </cell>
        </row>
        <row r="5564">
          <cell r="A5564">
            <v>0</v>
          </cell>
          <cell r="K5564">
            <v>0</v>
          </cell>
        </row>
        <row r="5565">
          <cell r="A5565">
            <v>0</v>
          </cell>
          <cell r="K5565">
            <v>0</v>
          </cell>
        </row>
        <row r="5566">
          <cell r="A5566">
            <v>0</v>
          </cell>
          <cell r="K5566">
            <v>0</v>
          </cell>
        </row>
        <row r="5567">
          <cell r="A5567">
            <v>0</v>
          </cell>
          <cell r="K5567">
            <v>0</v>
          </cell>
        </row>
        <row r="5568">
          <cell r="A5568">
            <v>0</v>
          </cell>
          <cell r="K5568">
            <v>0</v>
          </cell>
        </row>
        <row r="5569">
          <cell r="A5569">
            <v>0</v>
          </cell>
          <cell r="K5569">
            <v>0</v>
          </cell>
        </row>
        <row r="5570">
          <cell r="A5570">
            <v>0</v>
          </cell>
          <cell r="K5570">
            <v>0</v>
          </cell>
        </row>
        <row r="5571">
          <cell r="A5571">
            <v>0</v>
          </cell>
          <cell r="K5571">
            <v>0</v>
          </cell>
        </row>
        <row r="5572">
          <cell r="A5572">
            <v>0</v>
          </cell>
          <cell r="K5572">
            <v>0</v>
          </cell>
        </row>
        <row r="5573">
          <cell r="A5573">
            <v>0</v>
          </cell>
          <cell r="K5573">
            <v>0</v>
          </cell>
        </row>
        <row r="5574">
          <cell r="A5574">
            <v>0</v>
          </cell>
          <cell r="K5574">
            <v>0</v>
          </cell>
        </row>
        <row r="5575">
          <cell r="A5575">
            <v>0</v>
          </cell>
          <cell r="K5575">
            <v>0</v>
          </cell>
        </row>
        <row r="5576">
          <cell r="A5576">
            <v>0</v>
          </cell>
          <cell r="K5576">
            <v>0</v>
          </cell>
        </row>
        <row r="5577">
          <cell r="A5577">
            <v>0</v>
          </cell>
          <cell r="K5577">
            <v>0</v>
          </cell>
        </row>
        <row r="5578">
          <cell r="A5578">
            <v>0</v>
          </cell>
          <cell r="K5578">
            <v>0</v>
          </cell>
        </row>
        <row r="5579">
          <cell r="A5579">
            <v>0</v>
          </cell>
          <cell r="K5579">
            <v>0</v>
          </cell>
        </row>
        <row r="5580">
          <cell r="A5580">
            <v>0</v>
          </cell>
          <cell r="K5580">
            <v>0</v>
          </cell>
        </row>
        <row r="5581">
          <cell r="A5581">
            <v>0</v>
          </cell>
          <cell r="K5581">
            <v>0</v>
          </cell>
        </row>
        <row r="5582">
          <cell r="A5582">
            <v>0</v>
          </cell>
          <cell r="K5582">
            <v>0</v>
          </cell>
        </row>
        <row r="5583">
          <cell r="A5583">
            <v>0</v>
          </cell>
          <cell r="K5583">
            <v>0</v>
          </cell>
        </row>
        <row r="5584">
          <cell r="A5584">
            <v>0</v>
          </cell>
          <cell r="K5584">
            <v>0</v>
          </cell>
        </row>
        <row r="5585">
          <cell r="A5585">
            <v>0</v>
          </cell>
          <cell r="K5585">
            <v>0</v>
          </cell>
        </row>
        <row r="5586">
          <cell r="A5586">
            <v>0</v>
          </cell>
          <cell r="K5586">
            <v>0</v>
          </cell>
        </row>
        <row r="5587">
          <cell r="A5587">
            <v>0</v>
          </cell>
          <cell r="K5587">
            <v>0</v>
          </cell>
        </row>
        <row r="5588">
          <cell r="A5588">
            <v>0</v>
          </cell>
          <cell r="K5588">
            <v>0</v>
          </cell>
        </row>
        <row r="5589">
          <cell r="A5589">
            <v>0</v>
          </cell>
          <cell r="K5589">
            <v>0</v>
          </cell>
        </row>
        <row r="5590">
          <cell r="A5590">
            <v>0</v>
          </cell>
          <cell r="K5590">
            <v>0</v>
          </cell>
        </row>
        <row r="5591">
          <cell r="A5591">
            <v>0</v>
          </cell>
          <cell r="K5591">
            <v>0</v>
          </cell>
        </row>
        <row r="5592">
          <cell r="A5592">
            <v>0</v>
          </cell>
          <cell r="K5592">
            <v>0</v>
          </cell>
        </row>
        <row r="5593">
          <cell r="A5593">
            <v>0</v>
          </cell>
          <cell r="K5593">
            <v>0</v>
          </cell>
        </row>
        <row r="5594">
          <cell r="A5594">
            <v>0</v>
          </cell>
          <cell r="K5594">
            <v>0</v>
          </cell>
        </row>
        <row r="5595">
          <cell r="A5595">
            <v>0</v>
          </cell>
          <cell r="K5595">
            <v>0</v>
          </cell>
        </row>
        <row r="5596">
          <cell r="A5596">
            <v>0</v>
          </cell>
          <cell r="K5596">
            <v>0</v>
          </cell>
        </row>
        <row r="5597">
          <cell r="A5597">
            <v>0</v>
          </cell>
          <cell r="K5597">
            <v>0</v>
          </cell>
        </row>
        <row r="5598">
          <cell r="A5598">
            <v>0</v>
          </cell>
          <cell r="K5598">
            <v>0</v>
          </cell>
        </row>
        <row r="5599">
          <cell r="A5599">
            <v>0</v>
          </cell>
          <cell r="K5599">
            <v>0</v>
          </cell>
        </row>
        <row r="5600">
          <cell r="A5600">
            <v>0</v>
          </cell>
          <cell r="K5600">
            <v>0</v>
          </cell>
        </row>
        <row r="5601">
          <cell r="A5601">
            <v>0</v>
          </cell>
          <cell r="K5601">
            <v>0</v>
          </cell>
        </row>
        <row r="5602">
          <cell r="A5602">
            <v>0</v>
          </cell>
          <cell r="K5602">
            <v>0</v>
          </cell>
        </row>
        <row r="5603">
          <cell r="A5603">
            <v>0</v>
          </cell>
          <cell r="K5603">
            <v>0</v>
          </cell>
        </row>
        <row r="5604">
          <cell r="A5604">
            <v>0</v>
          </cell>
          <cell r="K5604">
            <v>0</v>
          </cell>
        </row>
        <row r="5605">
          <cell r="A5605">
            <v>0</v>
          </cell>
          <cell r="K5605">
            <v>0</v>
          </cell>
        </row>
        <row r="5606">
          <cell r="A5606">
            <v>0</v>
          </cell>
          <cell r="K5606">
            <v>0</v>
          </cell>
        </row>
        <row r="5607">
          <cell r="A5607">
            <v>0</v>
          </cell>
          <cell r="K5607">
            <v>0</v>
          </cell>
        </row>
        <row r="5608">
          <cell r="A5608">
            <v>0</v>
          </cell>
          <cell r="K5608">
            <v>0</v>
          </cell>
        </row>
        <row r="5609">
          <cell r="A5609">
            <v>0</v>
          </cell>
          <cell r="K5609">
            <v>0</v>
          </cell>
        </row>
        <row r="5610">
          <cell r="A5610">
            <v>0</v>
          </cell>
          <cell r="K5610">
            <v>0</v>
          </cell>
        </row>
        <row r="5611">
          <cell r="A5611">
            <v>0</v>
          </cell>
          <cell r="K5611">
            <v>0</v>
          </cell>
        </row>
        <row r="5612">
          <cell r="A5612">
            <v>0</v>
          </cell>
          <cell r="K5612">
            <v>0</v>
          </cell>
        </row>
        <row r="5613">
          <cell r="A5613">
            <v>0</v>
          </cell>
          <cell r="K5613">
            <v>0</v>
          </cell>
        </row>
        <row r="5614">
          <cell r="A5614">
            <v>0</v>
          </cell>
          <cell r="K5614">
            <v>0</v>
          </cell>
        </row>
        <row r="5615">
          <cell r="A5615">
            <v>0</v>
          </cell>
          <cell r="K5615">
            <v>0</v>
          </cell>
        </row>
        <row r="5616">
          <cell r="A5616">
            <v>0</v>
          </cell>
          <cell r="K5616">
            <v>0</v>
          </cell>
        </row>
        <row r="5617">
          <cell r="A5617">
            <v>0</v>
          </cell>
          <cell r="K5617">
            <v>0</v>
          </cell>
        </row>
        <row r="5618">
          <cell r="A5618">
            <v>0</v>
          </cell>
          <cell r="K5618">
            <v>0</v>
          </cell>
        </row>
        <row r="5619">
          <cell r="A5619">
            <v>0</v>
          </cell>
          <cell r="K5619">
            <v>0</v>
          </cell>
        </row>
        <row r="5620">
          <cell r="A5620">
            <v>0</v>
          </cell>
          <cell r="K5620">
            <v>0</v>
          </cell>
        </row>
        <row r="5621">
          <cell r="A5621">
            <v>0</v>
          </cell>
          <cell r="K5621">
            <v>0</v>
          </cell>
        </row>
        <row r="5622">
          <cell r="A5622">
            <v>0</v>
          </cell>
          <cell r="K5622">
            <v>0</v>
          </cell>
        </row>
        <row r="5623">
          <cell r="A5623">
            <v>0</v>
          </cell>
          <cell r="K5623">
            <v>0</v>
          </cell>
        </row>
        <row r="5624">
          <cell r="A5624">
            <v>0</v>
          </cell>
          <cell r="K5624">
            <v>0</v>
          </cell>
        </row>
        <row r="5625">
          <cell r="A5625">
            <v>0</v>
          </cell>
          <cell r="K5625">
            <v>0</v>
          </cell>
        </row>
        <row r="5626">
          <cell r="A5626">
            <v>0</v>
          </cell>
          <cell r="K5626">
            <v>0</v>
          </cell>
        </row>
        <row r="5627">
          <cell r="A5627">
            <v>0</v>
          </cell>
          <cell r="K5627">
            <v>0</v>
          </cell>
        </row>
        <row r="5628">
          <cell r="A5628">
            <v>0</v>
          </cell>
          <cell r="K5628">
            <v>0</v>
          </cell>
        </row>
        <row r="5629">
          <cell r="A5629">
            <v>0</v>
          </cell>
          <cell r="K5629">
            <v>0</v>
          </cell>
        </row>
        <row r="5630">
          <cell r="A5630">
            <v>0</v>
          </cell>
          <cell r="K5630">
            <v>0</v>
          </cell>
        </row>
        <row r="5631">
          <cell r="A5631">
            <v>0</v>
          </cell>
          <cell r="K5631">
            <v>0</v>
          </cell>
        </row>
        <row r="5632">
          <cell r="A5632">
            <v>0</v>
          </cell>
          <cell r="K5632">
            <v>0</v>
          </cell>
        </row>
        <row r="5633">
          <cell r="A5633">
            <v>0</v>
          </cell>
          <cell r="K5633">
            <v>0</v>
          </cell>
        </row>
        <row r="5634">
          <cell r="A5634">
            <v>0</v>
          </cell>
          <cell r="K5634">
            <v>0</v>
          </cell>
        </row>
        <row r="5635">
          <cell r="A5635">
            <v>0</v>
          </cell>
          <cell r="K5635">
            <v>0</v>
          </cell>
        </row>
        <row r="5636">
          <cell r="A5636">
            <v>0</v>
          </cell>
          <cell r="K5636">
            <v>0</v>
          </cell>
        </row>
        <row r="5637">
          <cell r="A5637">
            <v>0</v>
          </cell>
          <cell r="K5637">
            <v>0</v>
          </cell>
        </row>
        <row r="5638">
          <cell r="A5638">
            <v>0</v>
          </cell>
          <cell r="K5638">
            <v>0</v>
          </cell>
        </row>
        <row r="5639">
          <cell r="A5639">
            <v>0</v>
          </cell>
          <cell r="K5639">
            <v>0</v>
          </cell>
        </row>
        <row r="5640">
          <cell r="A5640">
            <v>0</v>
          </cell>
          <cell r="K5640">
            <v>0</v>
          </cell>
        </row>
        <row r="5641">
          <cell r="A5641">
            <v>0</v>
          </cell>
          <cell r="K5641">
            <v>0</v>
          </cell>
        </row>
        <row r="5642">
          <cell r="A5642">
            <v>0</v>
          </cell>
          <cell r="K5642">
            <v>0</v>
          </cell>
        </row>
        <row r="5643">
          <cell r="A5643">
            <v>0</v>
          </cell>
          <cell r="K5643">
            <v>0</v>
          </cell>
        </row>
        <row r="5644">
          <cell r="A5644">
            <v>0</v>
          </cell>
          <cell r="K5644">
            <v>0</v>
          </cell>
        </row>
        <row r="5645">
          <cell r="A5645">
            <v>0</v>
          </cell>
          <cell r="K5645">
            <v>0</v>
          </cell>
        </row>
        <row r="5646">
          <cell r="A5646">
            <v>0</v>
          </cell>
          <cell r="K5646">
            <v>0</v>
          </cell>
        </row>
        <row r="5647">
          <cell r="A5647">
            <v>0</v>
          </cell>
          <cell r="K5647">
            <v>0</v>
          </cell>
        </row>
        <row r="5648">
          <cell r="A5648">
            <v>0</v>
          </cell>
          <cell r="K5648">
            <v>0</v>
          </cell>
        </row>
        <row r="5649">
          <cell r="A5649">
            <v>0</v>
          </cell>
          <cell r="K5649">
            <v>0</v>
          </cell>
        </row>
        <row r="5650">
          <cell r="A5650">
            <v>0</v>
          </cell>
          <cell r="K5650">
            <v>0</v>
          </cell>
        </row>
        <row r="5651">
          <cell r="A5651">
            <v>0</v>
          </cell>
          <cell r="K5651">
            <v>0</v>
          </cell>
        </row>
        <row r="5652">
          <cell r="A5652">
            <v>0</v>
          </cell>
          <cell r="K5652">
            <v>0</v>
          </cell>
        </row>
        <row r="5653">
          <cell r="A5653">
            <v>0</v>
          </cell>
          <cell r="K5653">
            <v>0</v>
          </cell>
        </row>
        <row r="5654">
          <cell r="A5654">
            <v>0</v>
          </cell>
          <cell r="K5654">
            <v>0</v>
          </cell>
        </row>
        <row r="5655">
          <cell r="A5655">
            <v>0</v>
          </cell>
          <cell r="K5655">
            <v>0</v>
          </cell>
        </row>
        <row r="5656">
          <cell r="A5656">
            <v>0</v>
          </cell>
          <cell r="K5656">
            <v>0</v>
          </cell>
        </row>
        <row r="5657">
          <cell r="A5657">
            <v>0</v>
          </cell>
          <cell r="K5657">
            <v>0</v>
          </cell>
        </row>
        <row r="5658">
          <cell r="A5658">
            <v>0</v>
          </cell>
          <cell r="K5658">
            <v>0</v>
          </cell>
        </row>
        <row r="5659">
          <cell r="A5659">
            <v>0</v>
          </cell>
          <cell r="K5659">
            <v>0</v>
          </cell>
        </row>
        <row r="5660">
          <cell r="A5660">
            <v>0</v>
          </cell>
          <cell r="K5660">
            <v>0</v>
          </cell>
        </row>
        <row r="5661">
          <cell r="A5661">
            <v>0</v>
          </cell>
          <cell r="K5661">
            <v>0</v>
          </cell>
        </row>
        <row r="5662">
          <cell r="A5662">
            <v>0</v>
          </cell>
          <cell r="K5662">
            <v>0</v>
          </cell>
        </row>
        <row r="5663">
          <cell r="A5663">
            <v>0</v>
          </cell>
          <cell r="K5663">
            <v>0</v>
          </cell>
        </row>
        <row r="5664">
          <cell r="A5664">
            <v>0</v>
          </cell>
          <cell r="K5664">
            <v>0</v>
          </cell>
        </row>
        <row r="5665">
          <cell r="A5665">
            <v>0</v>
          </cell>
          <cell r="K5665">
            <v>0</v>
          </cell>
        </row>
        <row r="5666">
          <cell r="A5666">
            <v>0</v>
          </cell>
          <cell r="K5666">
            <v>0</v>
          </cell>
        </row>
        <row r="5667">
          <cell r="A5667">
            <v>0</v>
          </cell>
          <cell r="K5667">
            <v>0</v>
          </cell>
        </row>
        <row r="5668">
          <cell r="A5668">
            <v>0</v>
          </cell>
          <cell r="K5668">
            <v>0</v>
          </cell>
        </row>
        <row r="5669">
          <cell r="A5669">
            <v>0</v>
          </cell>
          <cell r="K5669">
            <v>0</v>
          </cell>
        </row>
        <row r="5670">
          <cell r="A5670">
            <v>0</v>
          </cell>
          <cell r="K5670">
            <v>0</v>
          </cell>
        </row>
        <row r="5671">
          <cell r="A5671">
            <v>0</v>
          </cell>
          <cell r="K5671">
            <v>0</v>
          </cell>
        </row>
        <row r="5672">
          <cell r="A5672">
            <v>0</v>
          </cell>
          <cell r="K5672">
            <v>0</v>
          </cell>
        </row>
        <row r="5673">
          <cell r="A5673">
            <v>0</v>
          </cell>
          <cell r="K5673">
            <v>0</v>
          </cell>
        </row>
        <row r="5674">
          <cell r="A5674">
            <v>0</v>
          </cell>
          <cell r="K5674">
            <v>0</v>
          </cell>
        </row>
        <row r="5675">
          <cell r="A5675">
            <v>0</v>
          </cell>
          <cell r="K5675">
            <v>0</v>
          </cell>
        </row>
        <row r="5676">
          <cell r="A5676">
            <v>0</v>
          </cell>
          <cell r="K5676">
            <v>0</v>
          </cell>
        </row>
        <row r="5677">
          <cell r="A5677">
            <v>0</v>
          </cell>
          <cell r="K5677">
            <v>0</v>
          </cell>
        </row>
        <row r="5678">
          <cell r="A5678">
            <v>0</v>
          </cell>
          <cell r="K5678">
            <v>0</v>
          </cell>
        </row>
        <row r="5679">
          <cell r="A5679">
            <v>0</v>
          </cell>
          <cell r="K5679">
            <v>0</v>
          </cell>
        </row>
        <row r="5680">
          <cell r="A5680">
            <v>0</v>
          </cell>
          <cell r="K5680">
            <v>0</v>
          </cell>
        </row>
        <row r="5681">
          <cell r="A5681">
            <v>0</v>
          </cell>
          <cell r="K5681">
            <v>0</v>
          </cell>
        </row>
        <row r="5682">
          <cell r="A5682">
            <v>0</v>
          </cell>
          <cell r="K5682">
            <v>0</v>
          </cell>
        </row>
        <row r="5683">
          <cell r="A5683">
            <v>0</v>
          </cell>
          <cell r="K5683">
            <v>0</v>
          </cell>
        </row>
        <row r="5684">
          <cell r="A5684">
            <v>0</v>
          </cell>
          <cell r="K5684">
            <v>0</v>
          </cell>
        </row>
        <row r="5685">
          <cell r="A5685">
            <v>0</v>
          </cell>
          <cell r="K5685">
            <v>0</v>
          </cell>
        </row>
        <row r="5686">
          <cell r="A5686">
            <v>0</v>
          </cell>
          <cell r="K5686">
            <v>0</v>
          </cell>
        </row>
        <row r="5687">
          <cell r="A5687">
            <v>0</v>
          </cell>
          <cell r="K5687">
            <v>0</v>
          </cell>
        </row>
        <row r="5688">
          <cell r="A5688">
            <v>0</v>
          </cell>
          <cell r="K5688">
            <v>0</v>
          </cell>
        </row>
        <row r="5689">
          <cell r="A5689">
            <v>0</v>
          </cell>
          <cell r="K5689">
            <v>0</v>
          </cell>
        </row>
        <row r="5690">
          <cell r="A5690">
            <v>0</v>
          </cell>
          <cell r="K5690">
            <v>0</v>
          </cell>
        </row>
        <row r="5691">
          <cell r="A5691">
            <v>0</v>
          </cell>
          <cell r="K5691">
            <v>0</v>
          </cell>
        </row>
        <row r="5692">
          <cell r="A5692">
            <v>0</v>
          </cell>
          <cell r="K5692">
            <v>0</v>
          </cell>
        </row>
        <row r="5693">
          <cell r="A5693">
            <v>0</v>
          </cell>
          <cell r="K5693">
            <v>0</v>
          </cell>
        </row>
        <row r="5694">
          <cell r="A5694">
            <v>0</v>
          </cell>
          <cell r="K5694">
            <v>0</v>
          </cell>
        </row>
        <row r="5695">
          <cell r="A5695">
            <v>0</v>
          </cell>
          <cell r="K5695">
            <v>0</v>
          </cell>
        </row>
        <row r="5696">
          <cell r="A5696">
            <v>0</v>
          </cell>
          <cell r="K5696">
            <v>0</v>
          </cell>
        </row>
        <row r="5697">
          <cell r="A5697">
            <v>0</v>
          </cell>
          <cell r="K5697">
            <v>0</v>
          </cell>
        </row>
        <row r="5698">
          <cell r="A5698">
            <v>0</v>
          </cell>
          <cell r="K5698">
            <v>0</v>
          </cell>
        </row>
        <row r="5699">
          <cell r="A5699">
            <v>0</v>
          </cell>
          <cell r="K5699">
            <v>0</v>
          </cell>
        </row>
        <row r="5700">
          <cell r="A5700">
            <v>0</v>
          </cell>
          <cell r="K5700">
            <v>0</v>
          </cell>
        </row>
        <row r="5701">
          <cell r="A5701">
            <v>0</v>
          </cell>
          <cell r="K5701">
            <v>0</v>
          </cell>
        </row>
        <row r="5702">
          <cell r="A5702">
            <v>0</v>
          </cell>
          <cell r="K5702">
            <v>0</v>
          </cell>
        </row>
        <row r="5703">
          <cell r="A5703">
            <v>0</v>
          </cell>
          <cell r="K5703">
            <v>0</v>
          </cell>
        </row>
        <row r="5704">
          <cell r="A5704">
            <v>0</v>
          </cell>
          <cell r="K5704">
            <v>0</v>
          </cell>
        </row>
        <row r="5705">
          <cell r="A5705">
            <v>0</v>
          </cell>
          <cell r="K5705">
            <v>0</v>
          </cell>
        </row>
        <row r="5706">
          <cell r="A5706">
            <v>0</v>
          </cell>
          <cell r="K5706">
            <v>0</v>
          </cell>
        </row>
        <row r="5707">
          <cell r="A5707">
            <v>0</v>
          </cell>
          <cell r="K5707">
            <v>0</v>
          </cell>
        </row>
        <row r="5708">
          <cell r="A5708">
            <v>0</v>
          </cell>
          <cell r="K5708">
            <v>0</v>
          </cell>
        </row>
        <row r="5709">
          <cell r="A5709">
            <v>0</v>
          </cell>
          <cell r="K5709">
            <v>0</v>
          </cell>
        </row>
        <row r="5710">
          <cell r="A5710">
            <v>0</v>
          </cell>
          <cell r="K5710">
            <v>0</v>
          </cell>
        </row>
        <row r="5711">
          <cell r="A5711">
            <v>0</v>
          </cell>
          <cell r="K5711">
            <v>0</v>
          </cell>
        </row>
        <row r="5712">
          <cell r="A5712">
            <v>0</v>
          </cell>
          <cell r="K5712">
            <v>0</v>
          </cell>
        </row>
        <row r="5713">
          <cell r="A5713">
            <v>0</v>
          </cell>
          <cell r="K5713">
            <v>0</v>
          </cell>
        </row>
        <row r="5714">
          <cell r="A5714">
            <v>0</v>
          </cell>
          <cell r="K5714">
            <v>0</v>
          </cell>
        </row>
        <row r="5715">
          <cell r="A5715">
            <v>0</v>
          </cell>
          <cell r="K5715">
            <v>0</v>
          </cell>
        </row>
        <row r="5716">
          <cell r="A5716">
            <v>0</v>
          </cell>
          <cell r="K5716">
            <v>0</v>
          </cell>
        </row>
        <row r="5717">
          <cell r="A5717">
            <v>0</v>
          </cell>
          <cell r="K5717">
            <v>0</v>
          </cell>
        </row>
        <row r="5718">
          <cell r="A5718">
            <v>0</v>
          </cell>
          <cell r="K5718">
            <v>0</v>
          </cell>
        </row>
        <row r="5719">
          <cell r="A5719">
            <v>0</v>
          </cell>
          <cell r="K5719">
            <v>0</v>
          </cell>
        </row>
        <row r="5720">
          <cell r="A5720">
            <v>0</v>
          </cell>
          <cell r="K5720">
            <v>0</v>
          </cell>
        </row>
        <row r="5721">
          <cell r="A5721">
            <v>0</v>
          </cell>
          <cell r="K5721">
            <v>0</v>
          </cell>
        </row>
        <row r="5722">
          <cell r="A5722">
            <v>0</v>
          </cell>
          <cell r="K5722">
            <v>0</v>
          </cell>
        </row>
        <row r="5723">
          <cell r="A5723">
            <v>0</v>
          </cell>
          <cell r="K5723">
            <v>0</v>
          </cell>
        </row>
        <row r="5724">
          <cell r="A5724">
            <v>0</v>
          </cell>
          <cell r="K5724">
            <v>0</v>
          </cell>
        </row>
        <row r="5725">
          <cell r="A5725">
            <v>0</v>
          </cell>
          <cell r="K5725">
            <v>0</v>
          </cell>
        </row>
        <row r="5726">
          <cell r="A5726">
            <v>0</v>
          </cell>
          <cell r="K5726">
            <v>0</v>
          </cell>
        </row>
        <row r="5727">
          <cell r="A5727">
            <v>0</v>
          </cell>
          <cell r="K5727">
            <v>0</v>
          </cell>
        </row>
        <row r="5728">
          <cell r="A5728">
            <v>0</v>
          </cell>
          <cell r="K5728">
            <v>0</v>
          </cell>
        </row>
        <row r="5729">
          <cell r="A5729">
            <v>0</v>
          </cell>
          <cell r="K5729">
            <v>0</v>
          </cell>
        </row>
        <row r="5730">
          <cell r="A5730">
            <v>0</v>
          </cell>
          <cell r="K5730">
            <v>0</v>
          </cell>
        </row>
        <row r="5731">
          <cell r="A5731">
            <v>0</v>
          </cell>
          <cell r="K5731">
            <v>0</v>
          </cell>
        </row>
        <row r="5732">
          <cell r="A5732">
            <v>0</v>
          </cell>
          <cell r="K5732">
            <v>0</v>
          </cell>
        </row>
        <row r="5733">
          <cell r="A5733">
            <v>0</v>
          </cell>
          <cell r="K5733">
            <v>0</v>
          </cell>
        </row>
        <row r="5734">
          <cell r="A5734">
            <v>0</v>
          </cell>
          <cell r="K5734">
            <v>0</v>
          </cell>
        </row>
        <row r="5735">
          <cell r="A5735">
            <v>0</v>
          </cell>
          <cell r="K5735">
            <v>0</v>
          </cell>
        </row>
        <row r="5736">
          <cell r="A5736">
            <v>0</v>
          </cell>
          <cell r="K5736">
            <v>0</v>
          </cell>
        </row>
        <row r="5737">
          <cell r="A5737">
            <v>0</v>
          </cell>
          <cell r="K5737">
            <v>0</v>
          </cell>
        </row>
        <row r="5738">
          <cell r="A5738">
            <v>0</v>
          </cell>
          <cell r="K5738">
            <v>0</v>
          </cell>
        </row>
        <row r="5739">
          <cell r="A5739">
            <v>0</v>
          </cell>
          <cell r="K5739">
            <v>0</v>
          </cell>
        </row>
        <row r="5740">
          <cell r="A5740">
            <v>0</v>
          </cell>
          <cell r="K5740">
            <v>0</v>
          </cell>
        </row>
        <row r="5741">
          <cell r="A5741">
            <v>0</v>
          </cell>
          <cell r="K5741">
            <v>0</v>
          </cell>
        </row>
        <row r="5742">
          <cell r="A5742">
            <v>0</v>
          </cell>
          <cell r="K5742">
            <v>0</v>
          </cell>
        </row>
        <row r="5743">
          <cell r="A5743">
            <v>0</v>
          </cell>
          <cell r="K5743">
            <v>0</v>
          </cell>
        </row>
        <row r="5744">
          <cell r="A5744">
            <v>0</v>
          </cell>
          <cell r="K5744">
            <v>0</v>
          </cell>
        </row>
        <row r="5745">
          <cell r="A5745">
            <v>0</v>
          </cell>
          <cell r="K5745">
            <v>0</v>
          </cell>
        </row>
        <row r="5746">
          <cell r="A5746">
            <v>0</v>
          </cell>
          <cell r="K5746">
            <v>0</v>
          </cell>
        </row>
        <row r="5747">
          <cell r="A5747">
            <v>0</v>
          </cell>
          <cell r="K5747">
            <v>0</v>
          </cell>
        </row>
        <row r="5748">
          <cell r="A5748">
            <v>0</v>
          </cell>
          <cell r="K5748">
            <v>0</v>
          </cell>
        </row>
        <row r="5749">
          <cell r="A5749">
            <v>0</v>
          </cell>
          <cell r="K5749">
            <v>0</v>
          </cell>
        </row>
        <row r="5750">
          <cell r="A5750">
            <v>0</v>
          </cell>
          <cell r="K5750">
            <v>0</v>
          </cell>
        </row>
        <row r="5751">
          <cell r="A5751">
            <v>0</v>
          </cell>
          <cell r="K5751">
            <v>0</v>
          </cell>
        </row>
        <row r="5752">
          <cell r="A5752">
            <v>0</v>
          </cell>
          <cell r="K5752">
            <v>0</v>
          </cell>
        </row>
        <row r="5753">
          <cell r="A5753">
            <v>0</v>
          </cell>
          <cell r="K5753">
            <v>0</v>
          </cell>
        </row>
        <row r="5754">
          <cell r="A5754">
            <v>0</v>
          </cell>
          <cell r="K5754">
            <v>0</v>
          </cell>
        </row>
        <row r="5755">
          <cell r="A5755">
            <v>0</v>
          </cell>
          <cell r="K5755">
            <v>0</v>
          </cell>
        </row>
        <row r="5756">
          <cell r="A5756">
            <v>0</v>
          </cell>
          <cell r="K5756">
            <v>0</v>
          </cell>
        </row>
        <row r="5757">
          <cell r="A5757">
            <v>0</v>
          </cell>
          <cell r="K5757">
            <v>0</v>
          </cell>
        </row>
        <row r="5758">
          <cell r="A5758">
            <v>0</v>
          </cell>
          <cell r="K5758">
            <v>0</v>
          </cell>
        </row>
        <row r="5759">
          <cell r="A5759">
            <v>0</v>
          </cell>
          <cell r="K5759">
            <v>0</v>
          </cell>
        </row>
        <row r="5760">
          <cell r="A5760">
            <v>0</v>
          </cell>
          <cell r="K5760">
            <v>0</v>
          </cell>
        </row>
        <row r="5761">
          <cell r="A5761">
            <v>0</v>
          </cell>
          <cell r="K5761">
            <v>0</v>
          </cell>
        </row>
        <row r="5762">
          <cell r="A5762">
            <v>0</v>
          </cell>
          <cell r="K5762">
            <v>0</v>
          </cell>
        </row>
        <row r="5763">
          <cell r="A5763">
            <v>0</v>
          </cell>
          <cell r="K5763">
            <v>0</v>
          </cell>
        </row>
        <row r="5764">
          <cell r="A5764">
            <v>0</v>
          </cell>
          <cell r="K5764">
            <v>0</v>
          </cell>
        </row>
        <row r="5765">
          <cell r="A5765">
            <v>0</v>
          </cell>
          <cell r="K5765">
            <v>0</v>
          </cell>
        </row>
        <row r="5766">
          <cell r="A5766">
            <v>0</v>
          </cell>
          <cell r="K5766">
            <v>0</v>
          </cell>
        </row>
        <row r="5767">
          <cell r="A5767">
            <v>0</v>
          </cell>
          <cell r="K5767">
            <v>0</v>
          </cell>
        </row>
        <row r="5768">
          <cell r="A5768">
            <v>0</v>
          </cell>
          <cell r="K5768">
            <v>0</v>
          </cell>
        </row>
        <row r="5769">
          <cell r="A5769">
            <v>0</v>
          </cell>
          <cell r="K5769">
            <v>0</v>
          </cell>
        </row>
        <row r="5770">
          <cell r="A5770">
            <v>0</v>
          </cell>
          <cell r="K5770">
            <v>0</v>
          </cell>
        </row>
        <row r="5771">
          <cell r="A5771">
            <v>0</v>
          </cell>
          <cell r="K5771">
            <v>0</v>
          </cell>
        </row>
        <row r="5772">
          <cell r="A5772">
            <v>0</v>
          </cell>
          <cell r="K5772">
            <v>0</v>
          </cell>
        </row>
        <row r="5773">
          <cell r="A5773">
            <v>0</v>
          </cell>
          <cell r="K5773">
            <v>0</v>
          </cell>
        </row>
        <row r="5774">
          <cell r="A5774">
            <v>0</v>
          </cell>
          <cell r="K5774">
            <v>0</v>
          </cell>
        </row>
        <row r="5775">
          <cell r="A5775">
            <v>0</v>
          </cell>
          <cell r="K5775">
            <v>0</v>
          </cell>
        </row>
        <row r="5776">
          <cell r="A5776">
            <v>0</v>
          </cell>
          <cell r="K5776">
            <v>0</v>
          </cell>
        </row>
        <row r="5777">
          <cell r="A5777">
            <v>0</v>
          </cell>
          <cell r="K5777">
            <v>0</v>
          </cell>
        </row>
        <row r="5778">
          <cell r="A5778">
            <v>0</v>
          </cell>
          <cell r="K5778">
            <v>0</v>
          </cell>
        </row>
        <row r="5779">
          <cell r="A5779">
            <v>0</v>
          </cell>
          <cell r="K5779">
            <v>0</v>
          </cell>
        </row>
        <row r="5780">
          <cell r="A5780">
            <v>0</v>
          </cell>
          <cell r="K5780">
            <v>0</v>
          </cell>
        </row>
        <row r="5781">
          <cell r="A5781">
            <v>0</v>
          </cell>
          <cell r="K5781">
            <v>0</v>
          </cell>
        </row>
        <row r="5782">
          <cell r="A5782">
            <v>0</v>
          </cell>
          <cell r="K5782">
            <v>0</v>
          </cell>
        </row>
        <row r="5783">
          <cell r="A5783">
            <v>0</v>
          </cell>
          <cell r="K5783">
            <v>0</v>
          </cell>
        </row>
        <row r="5784">
          <cell r="A5784">
            <v>0</v>
          </cell>
          <cell r="K5784">
            <v>0</v>
          </cell>
        </row>
        <row r="5785">
          <cell r="A5785">
            <v>0</v>
          </cell>
          <cell r="K5785">
            <v>0</v>
          </cell>
        </row>
        <row r="5786">
          <cell r="A5786">
            <v>0</v>
          </cell>
          <cell r="K5786">
            <v>0</v>
          </cell>
        </row>
        <row r="5787">
          <cell r="A5787">
            <v>0</v>
          </cell>
          <cell r="K5787">
            <v>0</v>
          </cell>
        </row>
        <row r="5788">
          <cell r="A5788">
            <v>0</v>
          </cell>
          <cell r="K5788">
            <v>0</v>
          </cell>
        </row>
        <row r="5789">
          <cell r="A5789">
            <v>0</v>
          </cell>
          <cell r="K5789">
            <v>0</v>
          </cell>
        </row>
        <row r="5790">
          <cell r="A5790">
            <v>0</v>
          </cell>
          <cell r="K5790">
            <v>0</v>
          </cell>
        </row>
        <row r="5791">
          <cell r="A5791">
            <v>0</v>
          </cell>
          <cell r="K5791">
            <v>0</v>
          </cell>
        </row>
        <row r="5792">
          <cell r="A5792">
            <v>0</v>
          </cell>
          <cell r="K5792">
            <v>0</v>
          </cell>
        </row>
        <row r="5793">
          <cell r="A5793">
            <v>0</v>
          </cell>
          <cell r="K5793">
            <v>0</v>
          </cell>
        </row>
        <row r="5794">
          <cell r="A5794">
            <v>0</v>
          </cell>
          <cell r="K5794">
            <v>0</v>
          </cell>
        </row>
        <row r="5795">
          <cell r="A5795">
            <v>0</v>
          </cell>
          <cell r="K5795">
            <v>0</v>
          </cell>
        </row>
        <row r="5796">
          <cell r="A5796">
            <v>0</v>
          </cell>
          <cell r="K5796">
            <v>0</v>
          </cell>
        </row>
        <row r="5797">
          <cell r="A5797">
            <v>0</v>
          </cell>
          <cell r="K5797">
            <v>0</v>
          </cell>
        </row>
        <row r="5798">
          <cell r="A5798">
            <v>0</v>
          </cell>
          <cell r="K5798">
            <v>0</v>
          </cell>
        </row>
        <row r="5799">
          <cell r="A5799">
            <v>0</v>
          </cell>
          <cell r="K5799">
            <v>0</v>
          </cell>
        </row>
        <row r="5800">
          <cell r="A5800">
            <v>0</v>
          </cell>
          <cell r="K5800">
            <v>0</v>
          </cell>
        </row>
        <row r="5801">
          <cell r="A5801">
            <v>0</v>
          </cell>
          <cell r="K5801">
            <v>0</v>
          </cell>
        </row>
        <row r="5802">
          <cell r="A5802">
            <v>0</v>
          </cell>
          <cell r="K5802">
            <v>0</v>
          </cell>
        </row>
        <row r="5803">
          <cell r="A5803">
            <v>0</v>
          </cell>
          <cell r="K5803">
            <v>0</v>
          </cell>
        </row>
        <row r="5804">
          <cell r="A5804">
            <v>0</v>
          </cell>
          <cell r="K5804">
            <v>0</v>
          </cell>
        </row>
        <row r="5805">
          <cell r="A5805">
            <v>0</v>
          </cell>
          <cell r="K5805">
            <v>0</v>
          </cell>
        </row>
        <row r="5806">
          <cell r="A5806">
            <v>0</v>
          </cell>
          <cell r="K5806">
            <v>0</v>
          </cell>
        </row>
        <row r="5807">
          <cell r="A5807">
            <v>0</v>
          </cell>
          <cell r="K5807">
            <v>0</v>
          </cell>
        </row>
        <row r="5808">
          <cell r="A5808">
            <v>0</v>
          </cell>
          <cell r="K5808">
            <v>0</v>
          </cell>
        </row>
        <row r="5809">
          <cell r="A5809">
            <v>0</v>
          </cell>
          <cell r="K5809">
            <v>0</v>
          </cell>
        </row>
        <row r="5810">
          <cell r="A5810">
            <v>0</v>
          </cell>
          <cell r="K5810">
            <v>0</v>
          </cell>
        </row>
        <row r="5811">
          <cell r="A5811">
            <v>0</v>
          </cell>
          <cell r="K5811">
            <v>0</v>
          </cell>
        </row>
        <row r="5812">
          <cell r="A5812">
            <v>0</v>
          </cell>
          <cell r="K5812">
            <v>0</v>
          </cell>
        </row>
        <row r="5813">
          <cell r="A5813">
            <v>0</v>
          </cell>
          <cell r="K5813">
            <v>0</v>
          </cell>
        </row>
        <row r="5814">
          <cell r="A5814">
            <v>0</v>
          </cell>
          <cell r="K5814">
            <v>0</v>
          </cell>
        </row>
        <row r="5815">
          <cell r="A5815">
            <v>0</v>
          </cell>
          <cell r="K5815">
            <v>0</v>
          </cell>
        </row>
        <row r="5816">
          <cell r="A5816">
            <v>0</v>
          </cell>
          <cell r="K5816">
            <v>0</v>
          </cell>
        </row>
        <row r="5817">
          <cell r="A5817">
            <v>0</v>
          </cell>
          <cell r="K5817">
            <v>0</v>
          </cell>
        </row>
        <row r="5818">
          <cell r="A5818">
            <v>0</v>
          </cell>
          <cell r="K5818">
            <v>0</v>
          </cell>
        </row>
        <row r="5819">
          <cell r="A5819">
            <v>0</v>
          </cell>
          <cell r="K5819">
            <v>0</v>
          </cell>
        </row>
        <row r="5820">
          <cell r="A5820">
            <v>0</v>
          </cell>
          <cell r="K5820">
            <v>0</v>
          </cell>
        </row>
        <row r="5821">
          <cell r="A5821">
            <v>0</v>
          </cell>
          <cell r="K5821">
            <v>0</v>
          </cell>
        </row>
        <row r="5822">
          <cell r="A5822">
            <v>0</v>
          </cell>
          <cell r="K5822">
            <v>0</v>
          </cell>
        </row>
        <row r="5823">
          <cell r="A5823">
            <v>0</v>
          </cell>
          <cell r="K5823">
            <v>0</v>
          </cell>
        </row>
        <row r="5824">
          <cell r="A5824">
            <v>0</v>
          </cell>
          <cell r="K5824">
            <v>0</v>
          </cell>
        </row>
        <row r="5825">
          <cell r="A5825">
            <v>0</v>
          </cell>
          <cell r="K5825">
            <v>0</v>
          </cell>
        </row>
        <row r="5826">
          <cell r="A5826">
            <v>0</v>
          </cell>
          <cell r="K5826">
            <v>0</v>
          </cell>
        </row>
        <row r="5827">
          <cell r="A5827">
            <v>0</v>
          </cell>
          <cell r="K5827">
            <v>0</v>
          </cell>
        </row>
        <row r="5828">
          <cell r="A5828">
            <v>0</v>
          </cell>
          <cell r="K5828">
            <v>0</v>
          </cell>
        </row>
        <row r="5829">
          <cell r="A5829">
            <v>0</v>
          </cell>
          <cell r="K5829">
            <v>0</v>
          </cell>
        </row>
        <row r="5830">
          <cell r="A5830">
            <v>0</v>
          </cell>
          <cell r="K5830">
            <v>0</v>
          </cell>
        </row>
        <row r="5831">
          <cell r="A5831">
            <v>0</v>
          </cell>
          <cell r="K5831">
            <v>0</v>
          </cell>
        </row>
        <row r="5832">
          <cell r="A5832">
            <v>0</v>
          </cell>
          <cell r="K5832">
            <v>0</v>
          </cell>
        </row>
        <row r="5833">
          <cell r="A5833">
            <v>0</v>
          </cell>
          <cell r="K5833">
            <v>0</v>
          </cell>
        </row>
        <row r="5834">
          <cell r="A5834">
            <v>0</v>
          </cell>
          <cell r="K5834">
            <v>0</v>
          </cell>
        </row>
        <row r="5835">
          <cell r="A5835">
            <v>0</v>
          </cell>
          <cell r="K5835">
            <v>0</v>
          </cell>
        </row>
        <row r="5836">
          <cell r="A5836">
            <v>0</v>
          </cell>
          <cell r="K5836">
            <v>0</v>
          </cell>
        </row>
        <row r="5837">
          <cell r="A5837">
            <v>0</v>
          </cell>
          <cell r="K5837">
            <v>0</v>
          </cell>
        </row>
        <row r="5838">
          <cell r="A5838">
            <v>0</v>
          </cell>
          <cell r="K5838">
            <v>0</v>
          </cell>
        </row>
        <row r="5839">
          <cell r="A5839">
            <v>0</v>
          </cell>
          <cell r="K5839">
            <v>0</v>
          </cell>
        </row>
        <row r="5840">
          <cell r="A5840">
            <v>0</v>
          </cell>
          <cell r="K5840">
            <v>0</v>
          </cell>
        </row>
        <row r="5841">
          <cell r="A5841">
            <v>0</v>
          </cell>
          <cell r="K5841">
            <v>0</v>
          </cell>
        </row>
        <row r="5842">
          <cell r="A5842">
            <v>0</v>
          </cell>
          <cell r="K5842">
            <v>0</v>
          </cell>
        </row>
        <row r="5843">
          <cell r="A5843">
            <v>0</v>
          </cell>
          <cell r="K5843">
            <v>0</v>
          </cell>
        </row>
        <row r="5844">
          <cell r="A5844">
            <v>0</v>
          </cell>
          <cell r="K5844">
            <v>0</v>
          </cell>
        </row>
        <row r="5845">
          <cell r="A5845">
            <v>0</v>
          </cell>
          <cell r="K5845">
            <v>0</v>
          </cell>
        </row>
        <row r="5846">
          <cell r="A5846">
            <v>0</v>
          </cell>
          <cell r="K5846">
            <v>0</v>
          </cell>
        </row>
        <row r="5847">
          <cell r="A5847">
            <v>0</v>
          </cell>
          <cell r="K5847">
            <v>0</v>
          </cell>
        </row>
        <row r="5848">
          <cell r="A5848">
            <v>0</v>
          </cell>
          <cell r="K5848">
            <v>0</v>
          </cell>
        </row>
        <row r="5849">
          <cell r="A5849">
            <v>0</v>
          </cell>
          <cell r="K5849">
            <v>0</v>
          </cell>
        </row>
        <row r="5850">
          <cell r="A5850">
            <v>0</v>
          </cell>
          <cell r="K5850">
            <v>0</v>
          </cell>
        </row>
        <row r="5851">
          <cell r="A5851">
            <v>0</v>
          </cell>
          <cell r="K5851">
            <v>0</v>
          </cell>
        </row>
        <row r="5852">
          <cell r="A5852">
            <v>0</v>
          </cell>
          <cell r="K5852">
            <v>0</v>
          </cell>
        </row>
        <row r="5853">
          <cell r="A5853">
            <v>0</v>
          </cell>
          <cell r="K5853">
            <v>0</v>
          </cell>
        </row>
        <row r="5854">
          <cell r="A5854">
            <v>0</v>
          </cell>
          <cell r="K5854">
            <v>0</v>
          </cell>
        </row>
        <row r="5855">
          <cell r="A5855">
            <v>0</v>
          </cell>
          <cell r="K5855">
            <v>0</v>
          </cell>
        </row>
        <row r="5856">
          <cell r="A5856">
            <v>0</v>
          </cell>
          <cell r="K5856">
            <v>0</v>
          </cell>
        </row>
        <row r="5857">
          <cell r="A5857">
            <v>0</v>
          </cell>
          <cell r="K5857">
            <v>0</v>
          </cell>
        </row>
        <row r="5858">
          <cell r="A5858">
            <v>0</v>
          </cell>
          <cell r="K5858">
            <v>0</v>
          </cell>
        </row>
        <row r="5859">
          <cell r="A5859">
            <v>0</v>
          </cell>
          <cell r="K5859">
            <v>0</v>
          </cell>
        </row>
        <row r="5860">
          <cell r="A5860">
            <v>0</v>
          </cell>
          <cell r="K5860">
            <v>0</v>
          </cell>
        </row>
        <row r="5861">
          <cell r="A5861">
            <v>0</v>
          </cell>
          <cell r="K5861">
            <v>0</v>
          </cell>
        </row>
        <row r="5862">
          <cell r="A5862">
            <v>0</v>
          </cell>
          <cell r="K5862">
            <v>0</v>
          </cell>
        </row>
        <row r="5863">
          <cell r="A5863">
            <v>0</v>
          </cell>
          <cell r="K5863">
            <v>0</v>
          </cell>
        </row>
        <row r="5864">
          <cell r="A5864">
            <v>0</v>
          </cell>
          <cell r="K5864">
            <v>0</v>
          </cell>
        </row>
        <row r="5865">
          <cell r="A5865">
            <v>0</v>
          </cell>
          <cell r="K5865">
            <v>0</v>
          </cell>
        </row>
        <row r="5866">
          <cell r="A5866">
            <v>0</v>
          </cell>
          <cell r="K5866">
            <v>0</v>
          </cell>
        </row>
        <row r="5867">
          <cell r="A5867">
            <v>0</v>
          </cell>
          <cell r="K5867">
            <v>0</v>
          </cell>
        </row>
        <row r="5868">
          <cell r="A5868">
            <v>0</v>
          </cell>
          <cell r="K5868">
            <v>0</v>
          </cell>
        </row>
        <row r="5869">
          <cell r="A5869">
            <v>0</v>
          </cell>
          <cell r="K5869">
            <v>0</v>
          </cell>
        </row>
        <row r="5870">
          <cell r="A5870">
            <v>0</v>
          </cell>
          <cell r="K5870">
            <v>0</v>
          </cell>
        </row>
        <row r="5871">
          <cell r="A5871">
            <v>0</v>
          </cell>
          <cell r="K5871">
            <v>0</v>
          </cell>
        </row>
        <row r="5872">
          <cell r="A5872">
            <v>0</v>
          </cell>
          <cell r="K5872">
            <v>0</v>
          </cell>
        </row>
        <row r="5873">
          <cell r="A5873">
            <v>0</v>
          </cell>
          <cell r="K5873">
            <v>0</v>
          </cell>
        </row>
        <row r="5874">
          <cell r="A5874">
            <v>0</v>
          </cell>
          <cell r="K5874">
            <v>0</v>
          </cell>
        </row>
        <row r="5875">
          <cell r="A5875">
            <v>0</v>
          </cell>
          <cell r="K5875">
            <v>0</v>
          </cell>
        </row>
        <row r="5876">
          <cell r="A5876">
            <v>0</v>
          </cell>
          <cell r="K5876">
            <v>0</v>
          </cell>
        </row>
        <row r="5877">
          <cell r="A5877">
            <v>0</v>
          </cell>
          <cell r="K5877">
            <v>0</v>
          </cell>
        </row>
        <row r="5878">
          <cell r="A5878">
            <v>0</v>
          </cell>
          <cell r="K5878">
            <v>0</v>
          </cell>
        </row>
        <row r="5879">
          <cell r="A5879">
            <v>0</v>
          </cell>
          <cell r="K5879">
            <v>0</v>
          </cell>
        </row>
        <row r="5880">
          <cell r="A5880">
            <v>0</v>
          </cell>
          <cell r="K5880">
            <v>0</v>
          </cell>
        </row>
        <row r="5881">
          <cell r="A5881">
            <v>0</v>
          </cell>
          <cell r="K5881">
            <v>0</v>
          </cell>
        </row>
        <row r="5882">
          <cell r="A5882">
            <v>0</v>
          </cell>
          <cell r="K5882">
            <v>0</v>
          </cell>
        </row>
        <row r="5883">
          <cell r="A5883">
            <v>0</v>
          </cell>
          <cell r="K5883">
            <v>0</v>
          </cell>
        </row>
        <row r="5884">
          <cell r="A5884">
            <v>0</v>
          </cell>
          <cell r="K5884">
            <v>0</v>
          </cell>
        </row>
        <row r="5885">
          <cell r="A5885">
            <v>0</v>
          </cell>
          <cell r="K5885">
            <v>0</v>
          </cell>
        </row>
        <row r="5886">
          <cell r="A5886">
            <v>0</v>
          </cell>
          <cell r="K5886">
            <v>0</v>
          </cell>
        </row>
        <row r="5887">
          <cell r="A5887">
            <v>0</v>
          </cell>
          <cell r="K5887">
            <v>0</v>
          </cell>
        </row>
        <row r="5888">
          <cell r="A5888">
            <v>0</v>
          </cell>
          <cell r="K5888">
            <v>0</v>
          </cell>
        </row>
        <row r="5889">
          <cell r="A5889">
            <v>0</v>
          </cell>
          <cell r="K5889">
            <v>0</v>
          </cell>
        </row>
        <row r="5890">
          <cell r="A5890">
            <v>0</v>
          </cell>
          <cell r="K5890">
            <v>0</v>
          </cell>
        </row>
        <row r="5891">
          <cell r="A5891">
            <v>0</v>
          </cell>
          <cell r="K5891">
            <v>0</v>
          </cell>
        </row>
        <row r="5892">
          <cell r="A5892">
            <v>0</v>
          </cell>
          <cell r="K5892">
            <v>0</v>
          </cell>
        </row>
        <row r="5893">
          <cell r="A5893">
            <v>0</v>
          </cell>
          <cell r="K5893">
            <v>0</v>
          </cell>
        </row>
        <row r="5894">
          <cell r="A5894">
            <v>0</v>
          </cell>
          <cell r="K5894">
            <v>0</v>
          </cell>
        </row>
        <row r="5895">
          <cell r="A5895">
            <v>0</v>
          </cell>
          <cell r="K5895">
            <v>0</v>
          </cell>
        </row>
        <row r="5896">
          <cell r="A5896">
            <v>0</v>
          </cell>
          <cell r="K5896">
            <v>0</v>
          </cell>
        </row>
        <row r="5897">
          <cell r="A5897">
            <v>0</v>
          </cell>
          <cell r="K5897">
            <v>0</v>
          </cell>
        </row>
        <row r="5898">
          <cell r="A5898">
            <v>0</v>
          </cell>
          <cell r="K5898">
            <v>0</v>
          </cell>
        </row>
        <row r="5899">
          <cell r="A5899">
            <v>0</v>
          </cell>
          <cell r="K5899">
            <v>0</v>
          </cell>
        </row>
        <row r="5900">
          <cell r="A5900">
            <v>0</v>
          </cell>
          <cell r="K5900">
            <v>0</v>
          </cell>
        </row>
        <row r="5901">
          <cell r="A5901">
            <v>0</v>
          </cell>
          <cell r="K5901">
            <v>0</v>
          </cell>
        </row>
        <row r="5902">
          <cell r="A5902">
            <v>0</v>
          </cell>
          <cell r="K5902">
            <v>0</v>
          </cell>
        </row>
        <row r="5903">
          <cell r="A5903">
            <v>0</v>
          </cell>
          <cell r="K5903">
            <v>0</v>
          </cell>
        </row>
        <row r="5904">
          <cell r="A5904">
            <v>0</v>
          </cell>
          <cell r="K5904">
            <v>0</v>
          </cell>
        </row>
        <row r="5905">
          <cell r="A5905">
            <v>0</v>
          </cell>
          <cell r="K5905">
            <v>0</v>
          </cell>
        </row>
        <row r="5906">
          <cell r="A5906">
            <v>0</v>
          </cell>
          <cell r="K5906">
            <v>0</v>
          </cell>
        </row>
        <row r="5907">
          <cell r="A5907">
            <v>0</v>
          </cell>
          <cell r="K5907">
            <v>0</v>
          </cell>
        </row>
        <row r="5908">
          <cell r="A5908">
            <v>0</v>
          </cell>
          <cell r="K5908">
            <v>0</v>
          </cell>
        </row>
        <row r="5909">
          <cell r="A5909">
            <v>0</v>
          </cell>
          <cell r="K5909">
            <v>0</v>
          </cell>
        </row>
        <row r="5910">
          <cell r="A5910">
            <v>0</v>
          </cell>
          <cell r="K5910">
            <v>0</v>
          </cell>
        </row>
        <row r="5911">
          <cell r="A5911">
            <v>0</v>
          </cell>
          <cell r="K5911">
            <v>0</v>
          </cell>
        </row>
        <row r="5912">
          <cell r="A5912">
            <v>0</v>
          </cell>
          <cell r="K5912">
            <v>0</v>
          </cell>
        </row>
        <row r="5913">
          <cell r="A5913">
            <v>0</v>
          </cell>
          <cell r="K5913">
            <v>0</v>
          </cell>
        </row>
        <row r="5914">
          <cell r="A5914">
            <v>0</v>
          </cell>
          <cell r="K5914">
            <v>0</v>
          </cell>
        </row>
        <row r="5915">
          <cell r="A5915">
            <v>0</v>
          </cell>
          <cell r="K5915">
            <v>0</v>
          </cell>
        </row>
        <row r="5916">
          <cell r="A5916">
            <v>0</v>
          </cell>
          <cell r="K5916">
            <v>0</v>
          </cell>
        </row>
        <row r="5917">
          <cell r="A5917">
            <v>0</v>
          </cell>
          <cell r="K5917">
            <v>0</v>
          </cell>
        </row>
        <row r="5918">
          <cell r="A5918">
            <v>0</v>
          </cell>
          <cell r="K5918">
            <v>0</v>
          </cell>
        </row>
        <row r="5919">
          <cell r="A5919">
            <v>0</v>
          </cell>
          <cell r="K5919">
            <v>0</v>
          </cell>
        </row>
        <row r="5920">
          <cell r="A5920">
            <v>0</v>
          </cell>
          <cell r="K5920">
            <v>0</v>
          </cell>
        </row>
        <row r="5921">
          <cell r="A5921">
            <v>0</v>
          </cell>
          <cell r="K5921">
            <v>0</v>
          </cell>
        </row>
        <row r="5922">
          <cell r="A5922">
            <v>0</v>
          </cell>
          <cell r="K5922">
            <v>0</v>
          </cell>
        </row>
        <row r="5923">
          <cell r="A5923">
            <v>0</v>
          </cell>
          <cell r="K5923">
            <v>0</v>
          </cell>
        </row>
        <row r="5924">
          <cell r="A5924">
            <v>0</v>
          </cell>
          <cell r="K5924">
            <v>0</v>
          </cell>
        </row>
        <row r="5925">
          <cell r="A5925">
            <v>0</v>
          </cell>
          <cell r="K5925">
            <v>0</v>
          </cell>
        </row>
        <row r="5926">
          <cell r="A5926">
            <v>0</v>
          </cell>
          <cell r="K5926">
            <v>0</v>
          </cell>
        </row>
        <row r="5927">
          <cell r="A5927">
            <v>0</v>
          </cell>
          <cell r="K5927">
            <v>0</v>
          </cell>
        </row>
        <row r="5928">
          <cell r="A5928">
            <v>0</v>
          </cell>
          <cell r="K5928">
            <v>0</v>
          </cell>
        </row>
        <row r="5929">
          <cell r="A5929">
            <v>0</v>
          </cell>
          <cell r="K5929">
            <v>0</v>
          </cell>
        </row>
        <row r="5930">
          <cell r="A5930">
            <v>0</v>
          </cell>
          <cell r="K5930">
            <v>0</v>
          </cell>
        </row>
        <row r="5931">
          <cell r="A5931">
            <v>0</v>
          </cell>
          <cell r="K5931">
            <v>0</v>
          </cell>
        </row>
        <row r="5932">
          <cell r="A5932">
            <v>0</v>
          </cell>
          <cell r="K5932">
            <v>0</v>
          </cell>
        </row>
        <row r="5933">
          <cell r="A5933">
            <v>0</v>
          </cell>
          <cell r="K5933">
            <v>0</v>
          </cell>
        </row>
        <row r="5934">
          <cell r="A5934">
            <v>0</v>
          </cell>
          <cell r="K5934">
            <v>0</v>
          </cell>
        </row>
        <row r="5935">
          <cell r="A5935">
            <v>0</v>
          </cell>
          <cell r="K5935">
            <v>0</v>
          </cell>
        </row>
        <row r="5936">
          <cell r="A5936">
            <v>0</v>
          </cell>
          <cell r="K5936">
            <v>0</v>
          </cell>
        </row>
        <row r="5937">
          <cell r="A5937">
            <v>0</v>
          </cell>
          <cell r="K5937">
            <v>0</v>
          </cell>
        </row>
        <row r="5938">
          <cell r="A5938">
            <v>0</v>
          </cell>
          <cell r="K5938">
            <v>0</v>
          </cell>
        </row>
        <row r="5939">
          <cell r="A5939">
            <v>0</v>
          </cell>
          <cell r="K5939">
            <v>0</v>
          </cell>
        </row>
        <row r="5940">
          <cell r="A5940">
            <v>0</v>
          </cell>
          <cell r="K5940">
            <v>0</v>
          </cell>
        </row>
        <row r="5941">
          <cell r="A5941">
            <v>0</v>
          </cell>
          <cell r="K5941">
            <v>0</v>
          </cell>
        </row>
        <row r="5942">
          <cell r="A5942">
            <v>0</v>
          </cell>
          <cell r="K5942">
            <v>0</v>
          </cell>
        </row>
        <row r="5943">
          <cell r="A5943">
            <v>0</v>
          </cell>
          <cell r="K5943">
            <v>0</v>
          </cell>
        </row>
        <row r="5944">
          <cell r="A5944">
            <v>0</v>
          </cell>
          <cell r="K5944">
            <v>0</v>
          </cell>
        </row>
        <row r="5945">
          <cell r="A5945">
            <v>0</v>
          </cell>
          <cell r="K5945">
            <v>0</v>
          </cell>
        </row>
        <row r="5946">
          <cell r="A5946">
            <v>0</v>
          </cell>
          <cell r="K5946">
            <v>0</v>
          </cell>
        </row>
        <row r="5947">
          <cell r="A5947">
            <v>0</v>
          </cell>
          <cell r="K5947">
            <v>0</v>
          </cell>
        </row>
        <row r="5948">
          <cell r="A5948">
            <v>0</v>
          </cell>
          <cell r="K5948">
            <v>0</v>
          </cell>
        </row>
        <row r="5949">
          <cell r="A5949">
            <v>0</v>
          </cell>
          <cell r="K5949">
            <v>0</v>
          </cell>
        </row>
        <row r="5950">
          <cell r="A5950">
            <v>0</v>
          </cell>
          <cell r="K5950">
            <v>0</v>
          </cell>
        </row>
        <row r="5951">
          <cell r="A5951">
            <v>0</v>
          </cell>
          <cell r="K5951">
            <v>0</v>
          </cell>
        </row>
        <row r="5952">
          <cell r="A5952">
            <v>0</v>
          </cell>
          <cell r="K5952">
            <v>0</v>
          </cell>
        </row>
        <row r="5953">
          <cell r="A5953">
            <v>0</v>
          </cell>
          <cell r="K5953">
            <v>0</v>
          </cell>
        </row>
        <row r="5954">
          <cell r="A5954">
            <v>0</v>
          </cell>
          <cell r="K5954">
            <v>0</v>
          </cell>
        </row>
        <row r="5955">
          <cell r="A5955">
            <v>0</v>
          </cell>
          <cell r="K5955">
            <v>0</v>
          </cell>
        </row>
        <row r="5956">
          <cell r="A5956">
            <v>0</v>
          </cell>
          <cell r="K5956">
            <v>0</v>
          </cell>
        </row>
        <row r="5957">
          <cell r="A5957">
            <v>0</v>
          </cell>
          <cell r="K5957">
            <v>0</v>
          </cell>
        </row>
        <row r="5958">
          <cell r="A5958">
            <v>0</v>
          </cell>
          <cell r="K5958">
            <v>0</v>
          </cell>
        </row>
        <row r="5959">
          <cell r="A5959">
            <v>0</v>
          </cell>
          <cell r="K5959">
            <v>0</v>
          </cell>
        </row>
        <row r="5960">
          <cell r="A5960">
            <v>0</v>
          </cell>
          <cell r="K5960">
            <v>0</v>
          </cell>
        </row>
        <row r="5961">
          <cell r="A5961">
            <v>0</v>
          </cell>
          <cell r="K5961">
            <v>0</v>
          </cell>
        </row>
        <row r="5962">
          <cell r="A5962">
            <v>0</v>
          </cell>
          <cell r="K5962">
            <v>0</v>
          </cell>
        </row>
        <row r="5963">
          <cell r="A5963">
            <v>0</v>
          </cell>
          <cell r="K5963">
            <v>0</v>
          </cell>
        </row>
        <row r="5964">
          <cell r="A5964">
            <v>0</v>
          </cell>
          <cell r="K5964">
            <v>0</v>
          </cell>
        </row>
        <row r="5965">
          <cell r="A5965">
            <v>0</v>
          </cell>
          <cell r="K5965">
            <v>0</v>
          </cell>
        </row>
        <row r="5966">
          <cell r="A5966">
            <v>0</v>
          </cell>
          <cell r="K5966">
            <v>0</v>
          </cell>
        </row>
        <row r="5967">
          <cell r="A5967">
            <v>0</v>
          </cell>
          <cell r="K5967">
            <v>0</v>
          </cell>
        </row>
        <row r="5968">
          <cell r="A5968">
            <v>0</v>
          </cell>
          <cell r="K5968">
            <v>0</v>
          </cell>
        </row>
        <row r="5969">
          <cell r="A5969">
            <v>0</v>
          </cell>
          <cell r="K5969">
            <v>0</v>
          </cell>
        </row>
        <row r="5970">
          <cell r="A5970">
            <v>0</v>
          </cell>
          <cell r="K5970">
            <v>0</v>
          </cell>
        </row>
        <row r="5971">
          <cell r="A5971">
            <v>0</v>
          </cell>
          <cell r="K5971">
            <v>0</v>
          </cell>
        </row>
        <row r="5972">
          <cell r="A5972">
            <v>0</v>
          </cell>
          <cell r="K5972">
            <v>0</v>
          </cell>
        </row>
        <row r="5973">
          <cell r="A5973">
            <v>0</v>
          </cell>
          <cell r="K5973">
            <v>0</v>
          </cell>
        </row>
        <row r="5974">
          <cell r="A5974">
            <v>0</v>
          </cell>
          <cell r="K5974">
            <v>0</v>
          </cell>
        </row>
        <row r="5975">
          <cell r="A5975">
            <v>0</v>
          </cell>
          <cell r="K5975">
            <v>0</v>
          </cell>
        </row>
        <row r="5976">
          <cell r="A5976">
            <v>0</v>
          </cell>
          <cell r="K5976">
            <v>0</v>
          </cell>
        </row>
        <row r="5977">
          <cell r="A5977">
            <v>0</v>
          </cell>
          <cell r="K5977">
            <v>0</v>
          </cell>
        </row>
        <row r="5978">
          <cell r="A5978">
            <v>0</v>
          </cell>
          <cell r="K5978">
            <v>0</v>
          </cell>
        </row>
        <row r="5979">
          <cell r="A5979">
            <v>0</v>
          </cell>
          <cell r="K5979">
            <v>0</v>
          </cell>
        </row>
        <row r="5980">
          <cell r="A5980">
            <v>0</v>
          </cell>
          <cell r="K5980">
            <v>0</v>
          </cell>
        </row>
        <row r="5981">
          <cell r="A5981">
            <v>0</v>
          </cell>
          <cell r="K5981">
            <v>0</v>
          </cell>
        </row>
        <row r="5982">
          <cell r="A5982">
            <v>0</v>
          </cell>
          <cell r="K5982">
            <v>0</v>
          </cell>
        </row>
        <row r="5983">
          <cell r="A5983">
            <v>0</v>
          </cell>
          <cell r="K5983">
            <v>0</v>
          </cell>
        </row>
        <row r="5984">
          <cell r="A5984">
            <v>0</v>
          </cell>
          <cell r="K5984">
            <v>0</v>
          </cell>
        </row>
        <row r="5985">
          <cell r="A5985">
            <v>0</v>
          </cell>
          <cell r="K5985">
            <v>0</v>
          </cell>
        </row>
        <row r="5986">
          <cell r="A5986">
            <v>0</v>
          </cell>
          <cell r="K5986">
            <v>0</v>
          </cell>
        </row>
        <row r="5987">
          <cell r="A5987">
            <v>0</v>
          </cell>
          <cell r="K5987">
            <v>0</v>
          </cell>
        </row>
        <row r="5988">
          <cell r="A5988">
            <v>0</v>
          </cell>
          <cell r="K5988">
            <v>0</v>
          </cell>
        </row>
        <row r="5989">
          <cell r="A5989">
            <v>0</v>
          </cell>
          <cell r="K5989">
            <v>0</v>
          </cell>
        </row>
        <row r="5990">
          <cell r="A5990">
            <v>0</v>
          </cell>
          <cell r="K5990">
            <v>0</v>
          </cell>
        </row>
        <row r="5991">
          <cell r="A5991">
            <v>0</v>
          </cell>
          <cell r="K5991">
            <v>0</v>
          </cell>
        </row>
        <row r="5992">
          <cell r="A5992">
            <v>0</v>
          </cell>
          <cell r="K5992">
            <v>0</v>
          </cell>
        </row>
        <row r="5993">
          <cell r="A5993">
            <v>0</v>
          </cell>
          <cell r="K5993">
            <v>0</v>
          </cell>
        </row>
        <row r="5994">
          <cell r="A5994">
            <v>0</v>
          </cell>
          <cell r="K5994">
            <v>0</v>
          </cell>
        </row>
        <row r="5995">
          <cell r="A5995">
            <v>0</v>
          </cell>
          <cell r="K5995">
            <v>0</v>
          </cell>
        </row>
        <row r="5996">
          <cell r="A5996">
            <v>0</v>
          </cell>
          <cell r="K5996">
            <v>0</v>
          </cell>
        </row>
        <row r="5997">
          <cell r="A5997">
            <v>0</v>
          </cell>
          <cell r="K5997">
            <v>0</v>
          </cell>
        </row>
        <row r="5998">
          <cell r="A5998">
            <v>0</v>
          </cell>
          <cell r="K5998">
            <v>0</v>
          </cell>
        </row>
        <row r="5999">
          <cell r="A5999">
            <v>0</v>
          </cell>
          <cell r="K5999">
            <v>0</v>
          </cell>
        </row>
        <row r="6000">
          <cell r="A6000">
            <v>0</v>
          </cell>
          <cell r="K6000">
            <v>0</v>
          </cell>
        </row>
        <row r="6001">
          <cell r="A6001">
            <v>0</v>
          </cell>
          <cell r="K6001">
            <v>0</v>
          </cell>
        </row>
        <row r="6002">
          <cell r="A6002">
            <v>0</v>
          </cell>
          <cell r="K6002">
            <v>0</v>
          </cell>
        </row>
        <row r="6003">
          <cell r="A6003">
            <v>0</v>
          </cell>
          <cell r="K6003">
            <v>0</v>
          </cell>
        </row>
        <row r="6004">
          <cell r="A6004">
            <v>0</v>
          </cell>
          <cell r="K6004">
            <v>0</v>
          </cell>
        </row>
        <row r="6005">
          <cell r="A6005">
            <v>0</v>
          </cell>
          <cell r="K6005">
            <v>0</v>
          </cell>
        </row>
        <row r="6006">
          <cell r="A6006">
            <v>0</v>
          </cell>
          <cell r="K6006">
            <v>0</v>
          </cell>
        </row>
        <row r="6007">
          <cell r="A6007">
            <v>0</v>
          </cell>
          <cell r="K6007">
            <v>0</v>
          </cell>
        </row>
        <row r="6008">
          <cell r="A6008">
            <v>0</v>
          </cell>
          <cell r="K6008">
            <v>0</v>
          </cell>
        </row>
        <row r="6009">
          <cell r="A6009">
            <v>0</v>
          </cell>
          <cell r="K6009">
            <v>0</v>
          </cell>
        </row>
        <row r="6010">
          <cell r="A6010">
            <v>0</v>
          </cell>
          <cell r="K6010">
            <v>0</v>
          </cell>
        </row>
        <row r="6011">
          <cell r="A6011">
            <v>0</v>
          </cell>
          <cell r="K6011">
            <v>0</v>
          </cell>
        </row>
        <row r="6012">
          <cell r="A6012">
            <v>0</v>
          </cell>
          <cell r="K6012">
            <v>0</v>
          </cell>
        </row>
        <row r="6013">
          <cell r="A6013">
            <v>0</v>
          </cell>
          <cell r="K6013">
            <v>0</v>
          </cell>
        </row>
        <row r="6014">
          <cell r="A6014">
            <v>0</v>
          </cell>
          <cell r="K6014">
            <v>0</v>
          </cell>
        </row>
        <row r="6015">
          <cell r="A6015">
            <v>0</v>
          </cell>
          <cell r="K6015">
            <v>0</v>
          </cell>
        </row>
        <row r="6016">
          <cell r="A6016">
            <v>0</v>
          </cell>
          <cell r="K6016">
            <v>0</v>
          </cell>
        </row>
        <row r="6017">
          <cell r="A6017">
            <v>0</v>
          </cell>
          <cell r="K6017">
            <v>0</v>
          </cell>
        </row>
        <row r="6018">
          <cell r="A6018">
            <v>0</v>
          </cell>
          <cell r="K6018">
            <v>0</v>
          </cell>
        </row>
        <row r="6019">
          <cell r="A6019">
            <v>0</v>
          </cell>
          <cell r="K6019">
            <v>0</v>
          </cell>
        </row>
        <row r="6020">
          <cell r="A6020">
            <v>0</v>
          </cell>
          <cell r="K6020">
            <v>0</v>
          </cell>
        </row>
        <row r="6021">
          <cell r="A6021">
            <v>0</v>
          </cell>
          <cell r="K6021">
            <v>0</v>
          </cell>
        </row>
        <row r="6022">
          <cell r="A6022">
            <v>0</v>
          </cell>
          <cell r="K6022">
            <v>0</v>
          </cell>
        </row>
        <row r="6023">
          <cell r="A6023">
            <v>0</v>
          </cell>
          <cell r="K6023">
            <v>0</v>
          </cell>
        </row>
        <row r="6024">
          <cell r="A6024">
            <v>0</v>
          </cell>
          <cell r="K6024">
            <v>0</v>
          </cell>
        </row>
        <row r="6025">
          <cell r="A6025">
            <v>0</v>
          </cell>
          <cell r="K6025">
            <v>0</v>
          </cell>
        </row>
        <row r="6026">
          <cell r="A6026">
            <v>0</v>
          </cell>
          <cell r="K6026">
            <v>0</v>
          </cell>
        </row>
        <row r="6027">
          <cell r="A6027">
            <v>0</v>
          </cell>
          <cell r="K6027">
            <v>0</v>
          </cell>
        </row>
        <row r="6028">
          <cell r="A6028">
            <v>0</v>
          </cell>
          <cell r="K6028">
            <v>0</v>
          </cell>
        </row>
        <row r="6029">
          <cell r="A6029">
            <v>0</v>
          </cell>
          <cell r="K6029">
            <v>0</v>
          </cell>
        </row>
        <row r="6030">
          <cell r="A6030">
            <v>0</v>
          </cell>
          <cell r="K6030">
            <v>0</v>
          </cell>
        </row>
        <row r="6031">
          <cell r="A6031">
            <v>0</v>
          </cell>
          <cell r="K6031">
            <v>0</v>
          </cell>
        </row>
        <row r="6032">
          <cell r="A6032">
            <v>0</v>
          </cell>
          <cell r="K6032">
            <v>0</v>
          </cell>
        </row>
        <row r="6033">
          <cell r="A6033">
            <v>0</v>
          </cell>
          <cell r="K6033">
            <v>0</v>
          </cell>
        </row>
        <row r="6034">
          <cell r="A6034">
            <v>0</v>
          </cell>
          <cell r="K6034">
            <v>0</v>
          </cell>
        </row>
        <row r="6035">
          <cell r="A6035">
            <v>0</v>
          </cell>
          <cell r="K6035">
            <v>0</v>
          </cell>
        </row>
        <row r="6036">
          <cell r="A6036">
            <v>0</v>
          </cell>
          <cell r="K6036">
            <v>0</v>
          </cell>
        </row>
        <row r="6037">
          <cell r="A6037">
            <v>0</v>
          </cell>
          <cell r="K6037">
            <v>0</v>
          </cell>
        </row>
        <row r="6038">
          <cell r="A6038">
            <v>0</v>
          </cell>
          <cell r="K6038">
            <v>0</v>
          </cell>
        </row>
        <row r="6039">
          <cell r="A6039">
            <v>0</v>
          </cell>
          <cell r="K6039">
            <v>0</v>
          </cell>
        </row>
        <row r="6040">
          <cell r="A6040">
            <v>0</v>
          </cell>
          <cell r="K6040">
            <v>0</v>
          </cell>
        </row>
        <row r="6041">
          <cell r="A6041">
            <v>0</v>
          </cell>
          <cell r="K6041">
            <v>0</v>
          </cell>
        </row>
        <row r="6042">
          <cell r="A6042">
            <v>0</v>
          </cell>
          <cell r="K6042">
            <v>0</v>
          </cell>
        </row>
        <row r="6043">
          <cell r="A6043">
            <v>0</v>
          </cell>
          <cell r="K6043">
            <v>0</v>
          </cell>
        </row>
        <row r="6044">
          <cell r="A6044">
            <v>0</v>
          </cell>
          <cell r="K6044">
            <v>0</v>
          </cell>
        </row>
        <row r="6045">
          <cell r="A6045">
            <v>0</v>
          </cell>
          <cell r="K6045">
            <v>0</v>
          </cell>
        </row>
        <row r="6046">
          <cell r="A6046">
            <v>0</v>
          </cell>
          <cell r="K6046">
            <v>0</v>
          </cell>
        </row>
        <row r="6047">
          <cell r="A6047">
            <v>0</v>
          </cell>
          <cell r="K6047">
            <v>0</v>
          </cell>
        </row>
        <row r="6048">
          <cell r="A6048">
            <v>0</v>
          </cell>
          <cell r="K6048">
            <v>0</v>
          </cell>
        </row>
        <row r="6049">
          <cell r="A6049">
            <v>0</v>
          </cell>
          <cell r="K6049">
            <v>0</v>
          </cell>
        </row>
        <row r="6050">
          <cell r="A6050">
            <v>0</v>
          </cell>
          <cell r="K6050">
            <v>0</v>
          </cell>
        </row>
        <row r="6051">
          <cell r="A6051">
            <v>0</v>
          </cell>
          <cell r="K6051">
            <v>0</v>
          </cell>
        </row>
        <row r="6052">
          <cell r="A6052">
            <v>0</v>
          </cell>
          <cell r="K6052">
            <v>0</v>
          </cell>
        </row>
        <row r="6053">
          <cell r="A6053">
            <v>0</v>
          </cell>
          <cell r="K6053">
            <v>0</v>
          </cell>
        </row>
        <row r="6054">
          <cell r="A6054">
            <v>0</v>
          </cell>
          <cell r="K6054">
            <v>0</v>
          </cell>
        </row>
        <row r="6055">
          <cell r="A6055">
            <v>0</v>
          </cell>
          <cell r="K6055">
            <v>0</v>
          </cell>
        </row>
        <row r="6056">
          <cell r="A6056">
            <v>0</v>
          </cell>
          <cell r="K6056">
            <v>0</v>
          </cell>
        </row>
        <row r="6057">
          <cell r="A6057">
            <v>0</v>
          </cell>
          <cell r="K6057">
            <v>0</v>
          </cell>
        </row>
        <row r="6058">
          <cell r="A6058">
            <v>0</v>
          </cell>
          <cell r="K6058">
            <v>0</v>
          </cell>
        </row>
        <row r="6059">
          <cell r="A6059">
            <v>0</v>
          </cell>
          <cell r="K6059">
            <v>0</v>
          </cell>
        </row>
        <row r="6060">
          <cell r="A6060">
            <v>0</v>
          </cell>
          <cell r="K6060">
            <v>0</v>
          </cell>
        </row>
        <row r="6061">
          <cell r="A6061">
            <v>0</v>
          </cell>
          <cell r="K6061">
            <v>0</v>
          </cell>
        </row>
        <row r="6062">
          <cell r="A6062">
            <v>0</v>
          </cell>
          <cell r="K6062">
            <v>0</v>
          </cell>
        </row>
        <row r="6063">
          <cell r="A6063">
            <v>0</v>
          </cell>
          <cell r="K6063">
            <v>0</v>
          </cell>
        </row>
        <row r="6064">
          <cell r="A6064">
            <v>0</v>
          </cell>
          <cell r="K6064">
            <v>0</v>
          </cell>
        </row>
        <row r="6065">
          <cell r="A6065">
            <v>0</v>
          </cell>
          <cell r="K6065">
            <v>0</v>
          </cell>
        </row>
        <row r="6066">
          <cell r="A6066">
            <v>0</v>
          </cell>
          <cell r="K6066">
            <v>0</v>
          </cell>
        </row>
        <row r="6067">
          <cell r="A6067">
            <v>0</v>
          </cell>
          <cell r="K6067">
            <v>0</v>
          </cell>
        </row>
        <row r="6068">
          <cell r="A6068">
            <v>0</v>
          </cell>
          <cell r="K6068">
            <v>0</v>
          </cell>
        </row>
        <row r="6069">
          <cell r="A6069">
            <v>0</v>
          </cell>
          <cell r="K6069">
            <v>0</v>
          </cell>
        </row>
        <row r="6070">
          <cell r="A6070">
            <v>0</v>
          </cell>
          <cell r="K6070">
            <v>0</v>
          </cell>
        </row>
        <row r="6071">
          <cell r="A6071">
            <v>0</v>
          </cell>
          <cell r="K6071">
            <v>0</v>
          </cell>
        </row>
        <row r="6072">
          <cell r="A6072">
            <v>0</v>
          </cell>
          <cell r="K6072">
            <v>0</v>
          </cell>
        </row>
        <row r="6073">
          <cell r="A6073">
            <v>0</v>
          </cell>
          <cell r="K6073">
            <v>0</v>
          </cell>
        </row>
        <row r="6074">
          <cell r="A6074">
            <v>0</v>
          </cell>
          <cell r="K6074">
            <v>0</v>
          </cell>
        </row>
        <row r="6075">
          <cell r="A6075">
            <v>0</v>
          </cell>
          <cell r="K6075">
            <v>0</v>
          </cell>
        </row>
        <row r="6076">
          <cell r="A6076">
            <v>0</v>
          </cell>
          <cell r="K6076">
            <v>0</v>
          </cell>
        </row>
        <row r="6077">
          <cell r="A6077">
            <v>0</v>
          </cell>
          <cell r="K6077">
            <v>0</v>
          </cell>
        </row>
        <row r="6078">
          <cell r="A6078">
            <v>0</v>
          </cell>
          <cell r="K6078">
            <v>0</v>
          </cell>
        </row>
        <row r="6079">
          <cell r="A6079">
            <v>0</v>
          </cell>
          <cell r="K6079">
            <v>0</v>
          </cell>
        </row>
        <row r="6080">
          <cell r="A6080">
            <v>0</v>
          </cell>
          <cell r="K6080">
            <v>0</v>
          </cell>
        </row>
        <row r="6081">
          <cell r="A6081">
            <v>0</v>
          </cell>
          <cell r="K6081">
            <v>0</v>
          </cell>
        </row>
        <row r="6082">
          <cell r="A6082">
            <v>0</v>
          </cell>
          <cell r="K6082">
            <v>0</v>
          </cell>
        </row>
        <row r="6083">
          <cell r="A6083">
            <v>0</v>
          </cell>
          <cell r="K6083">
            <v>0</v>
          </cell>
        </row>
        <row r="6084">
          <cell r="A6084">
            <v>0</v>
          </cell>
          <cell r="K6084">
            <v>0</v>
          </cell>
        </row>
        <row r="6085">
          <cell r="A6085">
            <v>0</v>
          </cell>
          <cell r="K6085">
            <v>0</v>
          </cell>
        </row>
        <row r="6086">
          <cell r="A6086">
            <v>0</v>
          </cell>
          <cell r="K6086">
            <v>0</v>
          </cell>
        </row>
        <row r="6087">
          <cell r="A6087">
            <v>0</v>
          </cell>
          <cell r="K6087">
            <v>0</v>
          </cell>
        </row>
        <row r="6088">
          <cell r="A6088">
            <v>0</v>
          </cell>
          <cell r="K6088">
            <v>0</v>
          </cell>
        </row>
        <row r="6089">
          <cell r="A6089">
            <v>0</v>
          </cell>
          <cell r="K6089">
            <v>0</v>
          </cell>
        </row>
        <row r="6090">
          <cell r="A6090">
            <v>0</v>
          </cell>
          <cell r="K6090">
            <v>0</v>
          </cell>
        </row>
        <row r="6091">
          <cell r="A6091">
            <v>0</v>
          </cell>
          <cell r="K6091">
            <v>0</v>
          </cell>
        </row>
        <row r="6092">
          <cell r="A6092">
            <v>0</v>
          </cell>
          <cell r="K6092">
            <v>0</v>
          </cell>
        </row>
        <row r="6093">
          <cell r="A6093">
            <v>0</v>
          </cell>
          <cell r="K6093">
            <v>0</v>
          </cell>
        </row>
        <row r="6094">
          <cell r="A6094">
            <v>0</v>
          </cell>
          <cell r="K6094">
            <v>0</v>
          </cell>
        </row>
        <row r="6095">
          <cell r="A6095">
            <v>0</v>
          </cell>
          <cell r="K6095">
            <v>0</v>
          </cell>
        </row>
        <row r="6096">
          <cell r="A6096">
            <v>0</v>
          </cell>
          <cell r="K6096">
            <v>0</v>
          </cell>
        </row>
        <row r="6097">
          <cell r="A6097">
            <v>0</v>
          </cell>
          <cell r="K6097">
            <v>0</v>
          </cell>
        </row>
        <row r="6098">
          <cell r="A6098">
            <v>0</v>
          </cell>
          <cell r="K6098">
            <v>0</v>
          </cell>
        </row>
        <row r="6099">
          <cell r="A6099">
            <v>0</v>
          </cell>
          <cell r="K6099">
            <v>0</v>
          </cell>
        </row>
        <row r="6100">
          <cell r="A6100">
            <v>0</v>
          </cell>
          <cell r="K6100">
            <v>0</v>
          </cell>
        </row>
        <row r="6101">
          <cell r="A6101">
            <v>0</v>
          </cell>
          <cell r="K6101">
            <v>0</v>
          </cell>
        </row>
        <row r="6102">
          <cell r="A6102">
            <v>0</v>
          </cell>
          <cell r="K6102">
            <v>0</v>
          </cell>
        </row>
        <row r="6103">
          <cell r="A6103">
            <v>0</v>
          </cell>
          <cell r="K6103">
            <v>0</v>
          </cell>
        </row>
        <row r="6104">
          <cell r="A6104">
            <v>0</v>
          </cell>
          <cell r="K6104">
            <v>0</v>
          </cell>
        </row>
        <row r="6105">
          <cell r="A6105">
            <v>0</v>
          </cell>
          <cell r="K6105">
            <v>0</v>
          </cell>
        </row>
        <row r="6106">
          <cell r="A6106">
            <v>0</v>
          </cell>
          <cell r="K6106">
            <v>0</v>
          </cell>
        </row>
        <row r="6107">
          <cell r="A6107">
            <v>0</v>
          </cell>
          <cell r="K6107">
            <v>0</v>
          </cell>
        </row>
        <row r="6108">
          <cell r="A6108">
            <v>0</v>
          </cell>
          <cell r="K6108">
            <v>0</v>
          </cell>
        </row>
        <row r="6109">
          <cell r="A6109">
            <v>0</v>
          </cell>
          <cell r="K6109">
            <v>0</v>
          </cell>
        </row>
        <row r="6110">
          <cell r="A6110">
            <v>0</v>
          </cell>
          <cell r="K6110">
            <v>0</v>
          </cell>
        </row>
        <row r="6111">
          <cell r="A6111">
            <v>0</v>
          </cell>
          <cell r="K6111">
            <v>0</v>
          </cell>
        </row>
        <row r="6112">
          <cell r="A6112">
            <v>0</v>
          </cell>
          <cell r="K6112">
            <v>0</v>
          </cell>
        </row>
        <row r="6113">
          <cell r="A6113">
            <v>0</v>
          </cell>
          <cell r="K6113">
            <v>0</v>
          </cell>
        </row>
        <row r="6114">
          <cell r="A6114">
            <v>0</v>
          </cell>
          <cell r="K6114">
            <v>0</v>
          </cell>
        </row>
        <row r="6115">
          <cell r="A6115">
            <v>0</v>
          </cell>
          <cell r="K6115">
            <v>0</v>
          </cell>
        </row>
        <row r="6116">
          <cell r="A6116">
            <v>0</v>
          </cell>
          <cell r="K6116">
            <v>0</v>
          </cell>
        </row>
        <row r="6117">
          <cell r="A6117">
            <v>0</v>
          </cell>
          <cell r="K6117">
            <v>0</v>
          </cell>
        </row>
        <row r="6118">
          <cell r="A6118">
            <v>0</v>
          </cell>
          <cell r="K6118">
            <v>0</v>
          </cell>
        </row>
        <row r="6119">
          <cell r="A6119">
            <v>0</v>
          </cell>
          <cell r="K6119">
            <v>0</v>
          </cell>
        </row>
        <row r="6120">
          <cell r="A6120">
            <v>0</v>
          </cell>
          <cell r="K6120">
            <v>0</v>
          </cell>
        </row>
        <row r="6121">
          <cell r="A6121">
            <v>0</v>
          </cell>
          <cell r="K6121">
            <v>0</v>
          </cell>
        </row>
        <row r="6122">
          <cell r="A6122">
            <v>0</v>
          </cell>
          <cell r="K6122">
            <v>0</v>
          </cell>
        </row>
        <row r="6123">
          <cell r="A6123">
            <v>0</v>
          </cell>
          <cell r="K6123">
            <v>0</v>
          </cell>
        </row>
        <row r="6124">
          <cell r="A6124">
            <v>0</v>
          </cell>
          <cell r="K6124">
            <v>0</v>
          </cell>
        </row>
        <row r="6125">
          <cell r="A6125">
            <v>0</v>
          </cell>
          <cell r="K6125">
            <v>0</v>
          </cell>
        </row>
        <row r="6126">
          <cell r="A6126">
            <v>0</v>
          </cell>
          <cell r="K6126">
            <v>0</v>
          </cell>
        </row>
        <row r="6127">
          <cell r="A6127">
            <v>0</v>
          </cell>
          <cell r="K6127">
            <v>0</v>
          </cell>
        </row>
        <row r="6128">
          <cell r="A6128">
            <v>0</v>
          </cell>
          <cell r="K6128">
            <v>0</v>
          </cell>
        </row>
        <row r="6129">
          <cell r="A6129">
            <v>0</v>
          </cell>
          <cell r="K6129">
            <v>0</v>
          </cell>
        </row>
        <row r="6130">
          <cell r="A6130">
            <v>0</v>
          </cell>
          <cell r="K6130">
            <v>0</v>
          </cell>
        </row>
        <row r="6131">
          <cell r="A6131">
            <v>0</v>
          </cell>
          <cell r="K6131">
            <v>0</v>
          </cell>
        </row>
        <row r="6132">
          <cell r="A6132">
            <v>0</v>
          </cell>
          <cell r="K6132">
            <v>0</v>
          </cell>
        </row>
        <row r="6133">
          <cell r="A6133">
            <v>0</v>
          </cell>
          <cell r="K6133">
            <v>0</v>
          </cell>
        </row>
        <row r="6134">
          <cell r="A6134">
            <v>0</v>
          </cell>
          <cell r="K6134">
            <v>0</v>
          </cell>
        </row>
        <row r="6135">
          <cell r="A6135">
            <v>0</v>
          </cell>
          <cell r="K6135">
            <v>0</v>
          </cell>
        </row>
        <row r="6136">
          <cell r="A6136">
            <v>0</v>
          </cell>
          <cell r="K6136">
            <v>0</v>
          </cell>
        </row>
        <row r="6137">
          <cell r="A6137">
            <v>0</v>
          </cell>
          <cell r="K6137">
            <v>0</v>
          </cell>
        </row>
        <row r="6138">
          <cell r="A6138">
            <v>0</v>
          </cell>
          <cell r="K6138">
            <v>0</v>
          </cell>
        </row>
        <row r="6139">
          <cell r="A6139">
            <v>0</v>
          </cell>
          <cell r="K6139">
            <v>0</v>
          </cell>
        </row>
        <row r="6140">
          <cell r="A6140">
            <v>0</v>
          </cell>
          <cell r="K6140">
            <v>0</v>
          </cell>
        </row>
        <row r="6141">
          <cell r="A6141">
            <v>0</v>
          </cell>
          <cell r="K6141">
            <v>0</v>
          </cell>
        </row>
        <row r="6142">
          <cell r="A6142">
            <v>0</v>
          </cell>
          <cell r="K6142">
            <v>0</v>
          </cell>
        </row>
        <row r="6143">
          <cell r="A6143">
            <v>0</v>
          </cell>
          <cell r="K6143">
            <v>0</v>
          </cell>
        </row>
        <row r="6144">
          <cell r="A6144">
            <v>0</v>
          </cell>
          <cell r="K6144">
            <v>0</v>
          </cell>
        </row>
        <row r="6145">
          <cell r="A6145">
            <v>0</v>
          </cell>
          <cell r="K6145">
            <v>0</v>
          </cell>
        </row>
        <row r="6146">
          <cell r="A6146">
            <v>0</v>
          </cell>
          <cell r="K6146">
            <v>0</v>
          </cell>
        </row>
        <row r="6147">
          <cell r="A6147">
            <v>0</v>
          </cell>
          <cell r="K6147">
            <v>0</v>
          </cell>
        </row>
        <row r="6148">
          <cell r="A6148">
            <v>0</v>
          </cell>
          <cell r="K6148">
            <v>0</v>
          </cell>
        </row>
        <row r="6149">
          <cell r="A6149">
            <v>0</v>
          </cell>
          <cell r="K6149">
            <v>0</v>
          </cell>
        </row>
        <row r="6150">
          <cell r="A6150">
            <v>0</v>
          </cell>
          <cell r="K6150">
            <v>0</v>
          </cell>
        </row>
        <row r="6151">
          <cell r="A6151">
            <v>0</v>
          </cell>
          <cell r="K6151">
            <v>0</v>
          </cell>
        </row>
        <row r="6152">
          <cell r="A6152">
            <v>0</v>
          </cell>
          <cell r="K6152">
            <v>0</v>
          </cell>
        </row>
        <row r="6153">
          <cell r="A6153">
            <v>0</v>
          </cell>
          <cell r="K6153">
            <v>0</v>
          </cell>
        </row>
        <row r="6154">
          <cell r="A6154">
            <v>0</v>
          </cell>
          <cell r="K6154">
            <v>0</v>
          </cell>
        </row>
        <row r="6155">
          <cell r="A6155">
            <v>0</v>
          </cell>
          <cell r="K6155">
            <v>0</v>
          </cell>
        </row>
        <row r="6156">
          <cell r="A6156">
            <v>0</v>
          </cell>
          <cell r="K6156">
            <v>0</v>
          </cell>
        </row>
        <row r="6157">
          <cell r="A6157">
            <v>0</v>
          </cell>
          <cell r="K6157">
            <v>0</v>
          </cell>
        </row>
        <row r="6158">
          <cell r="A6158">
            <v>0</v>
          </cell>
          <cell r="K6158">
            <v>0</v>
          </cell>
        </row>
        <row r="6159">
          <cell r="A6159">
            <v>0</v>
          </cell>
          <cell r="K6159">
            <v>0</v>
          </cell>
        </row>
        <row r="6160">
          <cell r="A6160">
            <v>0</v>
          </cell>
          <cell r="K6160">
            <v>0</v>
          </cell>
        </row>
        <row r="6161">
          <cell r="A6161">
            <v>0</v>
          </cell>
          <cell r="K6161">
            <v>0</v>
          </cell>
        </row>
        <row r="6162">
          <cell r="A6162">
            <v>0</v>
          </cell>
          <cell r="K6162">
            <v>0</v>
          </cell>
        </row>
        <row r="6163">
          <cell r="A6163">
            <v>0</v>
          </cell>
          <cell r="K6163">
            <v>0</v>
          </cell>
        </row>
        <row r="6164">
          <cell r="A6164">
            <v>0</v>
          </cell>
          <cell r="K6164">
            <v>0</v>
          </cell>
        </row>
        <row r="6165">
          <cell r="A6165">
            <v>0</v>
          </cell>
          <cell r="K6165">
            <v>0</v>
          </cell>
        </row>
        <row r="6166">
          <cell r="A6166">
            <v>0</v>
          </cell>
          <cell r="K6166">
            <v>0</v>
          </cell>
        </row>
        <row r="6167">
          <cell r="A6167">
            <v>0</v>
          </cell>
          <cell r="K6167">
            <v>0</v>
          </cell>
        </row>
        <row r="6168">
          <cell r="A6168">
            <v>0</v>
          </cell>
          <cell r="K6168">
            <v>0</v>
          </cell>
        </row>
        <row r="6169">
          <cell r="A6169">
            <v>0</v>
          </cell>
          <cell r="K6169">
            <v>0</v>
          </cell>
        </row>
        <row r="6170">
          <cell r="A6170">
            <v>0</v>
          </cell>
          <cell r="K6170">
            <v>0</v>
          </cell>
        </row>
        <row r="6171">
          <cell r="A6171">
            <v>0</v>
          </cell>
          <cell r="K6171">
            <v>0</v>
          </cell>
        </row>
        <row r="6172">
          <cell r="A6172">
            <v>0</v>
          </cell>
          <cell r="K6172">
            <v>0</v>
          </cell>
        </row>
        <row r="6173">
          <cell r="A6173">
            <v>0</v>
          </cell>
          <cell r="K6173">
            <v>0</v>
          </cell>
        </row>
        <row r="6174">
          <cell r="A6174">
            <v>0</v>
          </cell>
          <cell r="K6174">
            <v>0</v>
          </cell>
        </row>
        <row r="6175">
          <cell r="A6175">
            <v>0</v>
          </cell>
          <cell r="K6175">
            <v>0</v>
          </cell>
        </row>
        <row r="6176">
          <cell r="A6176">
            <v>0</v>
          </cell>
          <cell r="K6176">
            <v>0</v>
          </cell>
        </row>
        <row r="6177">
          <cell r="A6177">
            <v>0</v>
          </cell>
          <cell r="K6177">
            <v>0</v>
          </cell>
        </row>
        <row r="6178">
          <cell r="A6178">
            <v>0</v>
          </cell>
          <cell r="K6178">
            <v>0</v>
          </cell>
        </row>
        <row r="6179">
          <cell r="A6179">
            <v>0</v>
          </cell>
          <cell r="K6179">
            <v>0</v>
          </cell>
        </row>
        <row r="6180">
          <cell r="A6180">
            <v>0</v>
          </cell>
          <cell r="K6180">
            <v>0</v>
          </cell>
        </row>
        <row r="6181">
          <cell r="A6181">
            <v>0</v>
          </cell>
          <cell r="K6181">
            <v>0</v>
          </cell>
        </row>
        <row r="6182">
          <cell r="A6182">
            <v>0</v>
          </cell>
          <cell r="K6182">
            <v>0</v>
          </cell>
        </row>
        <row r="6183">
          <cell r="A6183">
            <v>0</v>
          </cell>
          <cell r="K6183">
            <v>0</v>
          </cell>
        </row>
        <row r="6184">
          <cell r="A6184">
            <v>0</v>
          </cell>
          <cell r="K6184">
            <v>0</v>
          </cell>
        </row>
        <row r="6185">
          <cell r="A6185">
            <v>0</v>
          </cell>
          <cell r="K6185">
            <v>0</v>
          </cell>
        </row>
        <row r="6186">
          <cell r="A6186">
            <v>0</v>
          </cell>
          <cell r="K6186">
            <v>0</v>
          </cell>
        </row>
        <row r="6187">
          <cell r="A6187">
            <v>0</v>
          </cell>
          <cell r="K6187">
            <v>0</v>
          </cell>
        </row>
        <row r="6188">
          <cell r="A6188">
            <v>0</v>
          </cell>
          <cell r="K6188">
            <v>0</v>
          </cell>
        </row>
        <row r="6189">
          <cell r="A6189">
            <v>0</v>
          </cell>
          <cell r="K6189">
            <v>0</v>
          </cell>
        </row>
        <row r="6190">
          <cell r="A6190">
            <v>0</v>
          </cell>
          <cell r="K6190">
            <v>0</v>
          </cell>
        </row>
        <row r="6191">
          <cell r="A6191">
            <v>0</v>
          </cell>
          <cell r="K6191">
            <v>0</v>
          </cell>
        </row>
        <row r="6192">
          <cell r="A6192">
            <v>0</v>
          </cell>
          <cell r="K6192">
            <v>0</v>
          </cell>
        </row>
        <row r="6193">
          <cell r="A6193">
            <v>0</v>
          </cell>
          <cell r="K6193">
            <v>0</v>
          </cell>
        </row>
        <row r="6194">
          <cell r="A6194">
            <v>0</v>
          </cell>
          <cell r="K6194">
            <v>0</v>
          </cell>
        </row>
        <row r="6195">
          <cell r="A6195">
            <v>0</v>
          </cell>
          <cell r="K6195">
            <v>0</v>
          </cell>
        </row>
        <row r="6196">
          <cell r="A6196">
            <v>0</v>
          </cell>
          <cell r="K6196">
            <v>0</v>
          </cell>
        </row>
        <row r="6197">
          <cell r="A6197">
            <v>0</v>
          </cell>
          <cell r="K6197">
            <v>0</v>
          </cell>
        </row>
        <row r="6198">
          <cell r="A6198">
            <v>0</v>
          </cell>
          <cell r="K6198">
            <v>0</v>
          </cell>
        </row>
        <row r="6199">
          <cell r="A6199">
            <v>0</v>
          </cell>
          <cell r="K6199">
            <v>0</v>
          </cell>
        </row>
        <row r="6200">
          <cell r="A6200">
            <v>0</v>
          </cell>
          <cell r="K6200">
            <v>0</v>
          </cell>
        </row>
        <row r="6201">
          <cell r="A6201">
            <v>0</v>
          </cell>
          <cell r="K6201">
            <v>0</v>
          </cell>
        </row>
        <row r="6202">
          <cell r="A6202">
            <v>0</v>
          </cell>
          <cell r="K6202">
            <v>0</v>
          </cell>
        </row>
        <row r="6203">
          <cell r="A6203">
            <v>0</v>
          </cell>
          <cell r="K6203">
            <v>0</v>
          </cell>
        </row>
        <row r="6204">
          <cell r="A6204">
            <v>0</v>
          </cell>
          <cell r="K6204">
            <v>0</v>
          </cell>
        </row>
        <row r="6205">
          <cell r="A6205">
            <v>0</v>
          </cell>
          <cell r="K6205">
            <v>0</v>
          </cell>
        </row>
        <row r="6206">
          <cell r="A6206">
            <v>0</v>
          </cell>
          <cell r="K6206">
            <v>0</v>
          </cell>
        </row>
        <row r="6207">
          <cell r="A6207">
            <v>0</v>
          </cell>
          <cell r="K6207">
            <v>0</v>
          </cell>
        </row>
        <row r="6208">
          <cell r="A6208">
            <v>0</v>
          </cell>
          <cell r="K6208">
            <v>0</v>
          </cell>
        </row>
        <row r="6209">
          <cell r="A6209">
            <v>0</v>
          </cell>
          <cell r="K6209">
            <v>0</v>
          </cell>
        </row>
        <row r="6210">
          <cell r="A6210">
            <v>0</v>
          </cell>
          <cell r="K6210">
            <v>0</v>
          </cell>
        </row>
        <row r="6211">
          <cell r="A6211">
            <v>0</v>
          </cell>
          <cell r="K6211">
            <v>0</v>
          </cell>
        </row>
        <row r="6212">
          <cell r="A6212">
            <v>0</v>
          </cell>
          <cell r="K6212">
            <v>0</v>
          </cell>
        </row>
        <row r="6213">
          <cell r="A6213">
            <v>0</v>
          </cell>
          <cell r="K6213">
            <v>0</v>
          </cell>
        </row>
        <row r="6214">
          <cell r="A6214">
            <v>0</v>
          </cell>
          <cell r="K6214">
            <v>0</v>
          </cell>
        </row>
        <row r="6215">
          <cell r="A6215">
            <v>0</v>
          </cell>
          <cell r="K6215">
            <v>0</v>
          </cell>
        </row>
        <row r="6216">
          <cell r="A6216">
            <v>0</v>
          </cell>
          <cell r="K6216">
            <v>0</v>
          </cell>
        </row>
        <row r="6217">
          <cell r="A6217">
            <v>0</v>
          </cell>
          <cell r="K6217">
            <v>0</v>
          </cell>
        </row>
        <row r="6218">
          <cell r="A6218">
            <v>0</v>
          </cell>
          <cell r="K6218">
            <v>0</v>
          </cell>
        </row>
        <row r="6219">
          <cell r="A6219">
            <v>0</v>
          </cell>
          <cell r="K6219">
            <v>0</v>
          </cell>
        </row>
        <row r="6220">
          <cell r="A6220">
            <v>0</v>
          </cell>
          <cell r="K6220">
            <v>0</v>
          </cell>
        </row>
        <row r="6221">
          <cell r="A6221">
            <v>0</v>
          </cell>
          <cell r="K6221">
            <v>0</v>
          </cell>
        </row>
        <row r="6222">
          <cell r="A6222">
            <v>0</v>
          </cell>
          <cell r="K6222">
            <v>0</v>
          </cell>
        </row>
        <row r="6223">
          <cell r="A6223">
            <v>0</v>
          </cell>
          <cell r="K6223">
            <v>0</v>
          </cell>
        </row>
        <row r="6224">
          <cell r="A6224">
            <v>0</v>
          </cell>
          <cell r="K6224">
            <v>0</v>
          </cell>
        </row>
        <row r="6225">
          <cell r="A6225">
            <v>0</v>
          </cell>
          <cell r="K6225">
            <v>0</v>
          </cell>
        </row>
        <row r="6226">
          <cell r="A6226">
            <v>0</v>
          </cell>
          <cell r="K6226">
            <v>0</v>
          </cell>
        </row>
        <row r="6227">
          <cell r="A6227">
            <v>0</v>
          </cell>
          <cell r="K6227">
            <v>0</v>
          </cell>
        </row>
        <row r="6228">
          <cell r="A6228">
            <v>0</v>
          </cell>
          <cell r="K6228">
            <v>0</v>
          </cell>
        </row>
        <row r="6229">
          <cell r="A6229">
            <v>0</v>
          </cell>
          <cell r="K6229">
            <v>0</v>
          </cell>
        </row>
        <row r="6230">
          <cell r="A6230">
            <v>0</v>
          </cell>
          <cell r="K6230">
            <v>0</v>
          </cell>
        </row>
        <row r="6231">
          <cell r="A6231">
            <v>0</v>
          </cell>
          <cell r="K6231">
            <v>0</v>
          </cell>
        </row>
        <row r="6232">
          <cell r="A6232">
            <v>0</v>
          </cell>
          <cell r="K6232">
            <v>0</v>
          </cell>
        </row>
        <row r="6233">
          <cell r="A6233">
            <v>0</v>
          </cell>
          <cell r="K6233">
            <v>0</v>
          </cell>
        </row>
        <row r="6234">
          <cell r="A6234">
            <v>0</v>
          </cell>
          <cell r="K6234">
            <v>0</v>
          </cell>
        </row>
        <row r="6235">
          <cell r="A6235">
            <v>0</v>
          </cell>
          <cell r="K6235">
            <v>0</v>
          </cell>
        </row>
        <row r="6236">
          <cell r="A6236">
            <v>0</v>
          </cell>
          <cell r="K6236">
            <v>0</v>
          </cell>
        </row>
        <row r="6237">
          <cell r="A6237">
            <v>0</v>
          </cell>
          <cell r="K6237">
            <v>0</v>
          </cell>
        </row>
        <row r="6238">
          <cell r="A6238">
            <v>0</v>
          </cell>
          <cell r="K6238">
            <v>0</v>
          </cell>
        </row>
        <row r="6239">
          <cell r="A6239">
            <v>0</v>
          </cell>
          <cell r="K6239">
            <v>0</v>
          </cell>
        </row>
        <row r="6240">
          <cell r="A6240">
            <v>0</v>
          </cell>
          <cell r="K6240">
            <v>0</v>
          </cell>
        </row>
        <row r="6241">
          <cell r="A6241">
            <v>0</v>
          </cell>
          <cell r="K6241">
            <v>0</v>
          </cell>
        </row>
        <row r="6242">
          <cell r="A6242">
            <v>0</v>
          </cell>
          <cell r="K6242">
            <v>0</v>
          </cell>
        </row>
        <row r="6243">
          <cell r="A6243">
            <v>0</v>
          </cell>
          <cell r="K6243">
            <v>0</v>
          </cell>
        </row>
        <row r="6244">
          <cell r="A6244">
            <v>0</v>
          </cell>
          <cell r="K6244">
            <v>0</v>
          </cell>
        </row>
        <row r="6245">
          <cell r="A6245">
            <v>0</v>
          </cell>
          <cell r="K6245">
            <v>0</v>
          </cell>
        </row>
        <row r="6246">
          <cell r="A6246">
            <v>0</v>
          </cell>
          <cell r="K6246">
            <v>0</v>
          </cell>
        </row>
        <row r="6247">
          <cell r="A6247">
            <v>0</v>
          </cell>
          <cell r="K6247">
            <v>0</v>
          </cell>
        </row>
        <row r="6248">
          <cell r="A6248">
            <v>0</v>
          </cell>
          <cell r="K6248">
            <v>0</v>
          </cell>
        </row>
        <row r="6249">
          <cell r="A6249">
            <v>0</v>
          </cell>
          <cell r="K6249">
            <v>0</v>
          </cell>
        </row>
        <row r="6250">
          <cell r="A6250">
            <v>0</v>
          </cell>
          <cell r="K6250">
            <v>0</v>
          </cell>
        </row>
        <row r="6251">
          <cell r="A6251">
            <v>0</v>
          </cell>
          <cell r="K6251">
            <v>0</v>
          </cell>
        </row>
        <row r="6252">
          <cell r="A6252">
            <v>0</v>
          </cell>
          <cell r="K6252">
            <v>0</v>
          </cell>
        </row>
        <row r="6253">
          <cell r="A6253">
            <v>0</v>
          </cell>
          <cell r="K6253">
            <v>0</v>
          </cell>
        </row>
        <row r="6254">
          <cell r="A6254">
            <v>0</v>
          </cell>
          <cell r="K6254">
            <v>0</v>
          </cell>
        </row>
        <row r="6255">
          <cell r="A6255">
            <v>0</v>
          </cell>
          <cell r="K6255">
            <v>0</v>
          </cell>
        </row>
        <row r="6256">
          <cell r="A6256">
            <v>0</v>
          </cell>
          <cell r="K6256">
            <v>0</v>
          </cell>
        </row>
        <row r="6257">
          <cell r="A6257">
            <v>0</v>
          </cell>
          <cell r="K6257">
            <v>0</v>
          </cell>
        </row>
        <row r="6258">
          <cell r="A6258">
            <v>0</v>
          </cell>
          <cell r="K6258">
            <v>0</v>
          </cell>
        </row>
        <row r="6259">
          <cell r="A6259">
            <v>0</v>
          </cell>
          <cell r="K6259">
            <v>0</v>
          </cell>
        </row>
        <row r="6260">
          <cell r="A6260">
            <v>0</v>
          </cell>
          <cell r="K6260">
            <v>0</v>
          </cell>
        </row>
        <row r="6261">
          <cell r="A6261">
            <v>0</v>
          </cell>
          <cell r="K6261">
            <v>0</v>
          </cell>
        </row>
        <row r="6262">
          <cell r="A6262">
            <v>0</v>
          </cell>
          <cell r="K6262">
            <v>0</v>
          </cell>
        </row>
        <row r="6263">
          <cell r="A6263">
            <v>0</v>
          </cell>
          <cell r="K6263">
            <v>0</v>
          </cell>
        </row>
        <row r="6264">
          <cell r="A6264">
            <v>0</v>
          </cell>
          <cell r="K6264">
            <v>0</v>
          </cell>
        </row>
        <row r="6265">
          <cell r="A6265">
            <v>0</v>
          </cell>
          <cell r="K6265">
            <v>0</v>
          </cell>
        </row>
        <row r="6266">
          <cell r="A6266">
            <v>0</v>
          </cell>
          <cell r="K6266">
            <v>0</v>
          </cell>
        </row>
        <row r="6267">
          <cell r="A6267">
            <v>0</v>
          </cell>
          <cell r="K6267">
            <v>0</v>
          </cell>
        </row>
        <row r="6268">
          <cell r="A6268">
            <v>0</v>
          </cell>
          <cell r="K6268">
            <v>0</v>
          </cell>
        </row>
        <row r="6269">
          <cell r="A6269">
            <v>0</v>
          </cell>
          <cell r="K6269">
            <v>0</v>
          </cell>
        </row>
        <row r="6270">
          <cell r="A6270">
            <v>0</v>
          </cell>
          <cell r="K6270">
            <v>0</v>
          </cell>
        </row>
        <row r="6271">
          <cell r="A6271">
            <v>0</v>
          </cell>
          <cell r="K6271">
            <v>0</v>
          </cell>
        </row>
        <row r="6272">
          <cell r="A6272">
            <v>0</v>
          </cell>
          <cell r="K6272">
            <v>0</v>
          </cell>
        </row>
        <row r="6273">
          <cell r="A6273">
            <v>0</v>
          </cell>
          <cell r="K6273">
            <v>0</v>
          </cell>
        </row>
        <row r="6274">
          <cell r="A6274">
            <v>0</v>
          </cell>
          <cell r="K6274">
            <v>0</v>
          </cell>
        </row>
        <row r="6275">
          <cell r="A6275">
            <v>0</v>
          </cell>
          <cell r="K6275">
            <v>0</v>
          </cell>
        </row>
        <row r="6276">
          <cell r="A6276">
            <v>0</v>
          </cell>
          <cell r="K6276">
            <v>0</v>
          </cell>
        </row>
        <row r="6277">
          <cell r="A6277">
            <v>0</v>
          </cell>
          <cell r="K6277">
            <v>0</v>
          </cell>
        </row>
        <row r="6278">
          <cell r="A6278">
            <v>0</v>
          </cell>
          <cell r="K6278">
            <v>0</v>
          </cell>
        </row>
        <row r="6279">
          <cell r="A6279">
            <v>0</v>
          </cell>
          <cell r="K6279">
            <v>0</v>
          </cell>
        </row>
        <row r="6280">
          <cell r="A6280">
            <v>0</v>
          </cell>
          <cell r="K6280">
            <v>0</v>
          </cell>
        </row>
        <row r="6281">
          <cell r="A6281">
            <v>0</v>
          </cell>
          <cell r="K6281">
            <v>0</v>
          </cell>
        </row>
        <row r="6282">
          <cell r="A6282">
            <v>0</v>
          </cell>
          <cell r="K6282">
            <v>0</v>
          </cell>
        </row>
        <row r="6283">
          <cell r="A6283">
            <v>0</v>
          </cell>
          <cell r="K6283">
            <v>0</v>
          </cell>
        </row>
        <row r="6284">
          <cell r="A6284">
            <v>0</v>
          </cell>
          <cell r="K6284">
            <v>0</v>
          </cell>
        </row>
        <row r="6285">
          <cell r="A6285">
            <v>0</v>
          </cell>
          <cell r="K6285">
            <v>0</v>
          </cell>
        </row>
        <row r="6286">
          <cell r="A6286">
            <v>0</v>
          </cell>
          <cell r="K6286">
            <v>0</v>
          </cell>
        </row>
        <row r="6287">
          <cell r="A6287">
            <v>0</v>
          </cell>
          <cell r="K6287">
            <v>0</v>
          </cell>
        </row>
        <row r="6288">
          <cell r="A6288">
            <v>0</v>
          </cell>
          <cell r="K6288">
            <v>0</v>
          </cell>
        </row>
        <row r="6289">
          <cell r="A6289">
            <v>0</v>
          </cell>
          <cell r="K6289">
            <v>0</v>
          </cell>
        </row>
        <row r="6290">
          <cell r="A6290">
            <v>0</v>
          </cell>
          <cell r="K6290">
            <v>0</v>
          </cell>
        </row>
        <row r="6291">
          <cell r="A6291">
            <v>0</v>
          </cell>
          <cell r="K6291">
            <v>0</v>
          </cell>
        </row>
        <row r="6292">
          <cell r="A6292">
            <v>0</v>
          </cell>
          <cell r="K6292">
            <v>0</v>
          </cell>
        </row>
        <row r="6293">
          <cell r="A6293">
            <v>0</v>
          </cell>
          <cell r="K6293">
            <v>0</v>
          </cell>
        </row>
        <row r="6294">
          <cell r="A6294">
            <v>0</v>
          </cell>
          <cell r="K6294">
            <v>0</v>
          </cell>
        </row>
        <row r="6295">
          <cell r="A6295">
            <v>0</v>
          </cell>
          <cell r="K6295">
            <v>0</v>
          </cell>
        </row>
        <row r="6296">
          <cell r="A6296">
            <v>0</v>
          </cell>
          <cell r="K6296">
            <v>0</v>
          </cell>
        </row>
        <row r="6297">
          <cell r="A6297">
            <v>0</v>
          </cell>
          <cell r="K6297">
            <v>0</v>
          </cell>
        </row>
        <row r="6298">
          <cell r="A6298">
            <v>0</v>
          </cell>
          <cell r="K6298">
            <v>0</v>
          </cell>
        </row>
        <row r="6299">
          <cell r="A6299">
            <v>0</v>
          </cell>
          <cell r="K6299">
            <v>0</v>
          </cell>
        </row>
        <row r="6300">
          <cell r="A6300">
            <v>0</v>
          </cell>
          <cell r="K6300">
            <v>0</v>
          </cell>
        </row>
        <row r="6301">
          <cell r="A6301">
            <v>0</v>
          </cell>
          <cell r="K6301">
            <v>0</v>
          </cell>
        </row>
        <row r="6302">
          <cell r="A6302">
            <v>0</v>
          </cell>
          <cell r="K6302">
            <v>0</v>
          </cell>
        </row>
        <row r="6303">
          <cell r="A6303">
            <v>0</v>
          </cell>
          <cell r="K6303">
            <v>0</v>
          </cell>
        </row>
        <row r="6304">
          <cell r="A6304">
            <v>0</v>
          </cell>
          <cell r="K6304">
            <v>0</v>
          </cell>
        </row>
        <row r="6305">
          <cell r="A6305">
            <v>0</v>
          </cell>
          <cell r="K6305">
            <v>0</v>
          </cell>
        </row>
        <row r="6306">
          <cell r="A6306">
            <v>0</v>
          </cell>
          <cell r="K6306">
            <v>0</v>
          </cell>
        </row>
        <row r="6307">
          <cell r="A6307">
            <v>0</v>
          </cell>
          <cell r="K6307">
            <v>0</v>
          </cell>
        </row>
        <row r="6308">
          <cell r="A6308">
            <v>0</v>
          </cell>
          <cell r="K6308">
            <v>0</v>
          </cell>
        </row>
        <row r="6309">
          <cell r="A6309">
            <v>0</v>
          </cell>
          <cell r="K6309">
            <v>0</v>
          </cell>
        </row>
        <row r="6310">
          <cell r="A6310">
            <v>0</v>
          </cell>
          <cell r="K6310">
            <v>0</v>
          </cell>
        </row>
        <row r="6311">
          <cell r="A6311">
            <v>0</v>
          </cell>
          <cell r="K6311">
            <v>0</v>
          </cell>
        </row>
        <row r="6312">
          <cell r="A6312">
            <v>0</v>
          </cell>
          <cell r="K6312">
            <v>0</v>
          </cell>
        </row>
        <row r="6313">
          <cell r="A6313">
            <v>0</v>
          </cell>
          <cell r="K6313">
            <v>0</v>
          </cell>
        </row>
        <row r="6314">
          <cell r="A6314">
            <v>0</v>
          </cell>
          <cell r="K6314">
            <v>0</v>
          </cell>
        </row>
        <row r="6315">
          <cell r="A6315">
            <v>0</v>
          </cell>
          <cell r="K6315">
            <v>0</v>
          </cell>
        </row>
        <row r="6316">
          <cell r="A6316">
            <v>0</v>
          </cell>
          <cell r="K6316">
            <v>0</v>
          </cell>
        </row>
        <row r="6317">
          <cell r="A6317">
            <v>0</v>
          </cell>
          <cell r="K6317">
            <v>0</v>
          </cell>
        </row>
        <row r="6318">
          <cell r="A6318">
            <v>0</v>
          </cell>
          <cell r="K6318">
            <v>0</v>
          </cell>
        </row>
        <row r="6319">
          <cell r="A6319">
            <v>0</v>
          </cell>
          <cell r="K6319">
            <v>0</v>
          </cell>
        </row>
        <row r="6320">
          <cell r="A6320">
            <v>0</v>
          </cell>
          <cell r="K6320">
            <v>0</v>
          </cell>
        </row>
        <row r="6321">
          <cell r="A6321">
            <v>0</v>
          </cell>
          <cell r="K6321">
            <v>0</v>
          </cell>
        </row>
        <row r="6322">
          <cell r="A6322">
            <v>0</v>
          </cell>
          <cell r="K6322">
            <v>0</v>
          </cell>
        </row>
        <row r="6323">
          <cell r="A6323">
            <v>0</v>
          </cell>
          <cell r="K6323">
            <v>0</v>
          </cell>
        </row>
        <row r="6324">
          <cell r="A6324">
            <v>0</v>
          </cell>
          <cell r="K6324">
            <v>0</v>
          </cell>
        </row>
        <row r="6325">
          <cell r="A6325">
            <v>0</v>
          </cell>
          <cell r="K6325">
            <v>0</v>
          </cell>
        </row>
        <row r="6326">
          <cell r="A6326">
            <v>0</v>
          </cell>
          <cell r="K6326">
            <v>0</v>
          </cell>
        </row>
        <row r="6327">
          <cell r="A6327">
            <v>0</v>
          </cell>
          <cell r="K6327">
            <v>0</v>
          </cell>
        </row>
        <row r="6328">
          <cell r="A6328">
            <v>0</v>
          </cell>
          <cell r="K6328">
            <v>0</v>
          </cell>
        </row>
        <row r="6329">
          <cell r="A6329">
            <v>0</v>
          </cell>
          <cell r="K6329">
            <v>0</v>
          </cell>
        </row>
        <row r="6330">
          <cell r="A6330">
            <v>0</v>
          </cell>
          <cell r="K6330">
            <v>0</v>
          </cell>
        </row>
        <row r="6331">
          <cell r="A6331">
            <v>0</v>
          </cell>
          <cell r="K6331">
            <v>0</v>
          </cell>
        </row>
        <row r="6332">
          <cell r="A6332">
            <v>0</v>
          </cell>
          <cell r="K6332">
            <v>0</v>
          </cell>
        </row>
        <row r="6333">
          <cell r="A6333">
            <v>0</v>
          </cell>
          <cell r="K6333">
            <v>0</v>
          </cell>
        </row>
        <row r="6334">
          <cell r="A6334">
            <v>0</v>
          </cell>
          <cell r="K6334">
            <v>0</v>
          </cell>
        </row>
        <row r="6335">
          <cell r="A6335">
            <v>0</v>
          </cell>
          <cell r="K6335">
            <v>0</v>
          </cell>
        </row>
        <row r="6336">
          <cell r="A6336">
            <v>0</v>
          </cell>
          <cell r="K6336">
            <v>0</v>
          </cell>
        </row>
        <row r="6337">
          <cell r="A6337">
            <v>0</v>
          </cell>
          <cell r="K6337">
            <v>0</v>
          </cell>
        </row>
        <row r="6338">
          <cell r="A6338">
            <v>0</v>
          </cell>
          <cell r="K6338">
            <v>0</v>
          </cell>
        </row>
        <row r="6339">
          <cell r="A6339">
            <v>0</v>
          </cell>
          <cell r="K6339">
            <v>0</v>
          </cell>
        </row>
        <row r="6340">
          <cell r="A6340">
            <v>0</v>
          </cell>
          <cell r="K6340">
            <v>0</v>
          </cell>
        </row>
        <row r="6341">
          <cell r="A6341">
            <v>0</v>
          </cell>
          <cell r="K6341">
            <v>0</v>
          </cell>
        </row>
        <row r="6342">
          <cell r="A6342">
            <v>0</v>
          </cell>
          <cell r="K6342">
            <v>0</v>
          </cell>
        </row>
        <row r="6343">
          <cell r="A6343">
            <v>0</v>
          </cell>
          <cell r="K6343">
            <v>0</v>
          </cell>
        </row>
        <row r="6344">
          <cell r="A6344">
            <v>0</v>
          </cell>
          <cell r="K6344">
            <v>0</v>
          </cell>
        </row>
        <row r="6345">
          <cell r="A6345">
            <v>0</v>
          </cell>
          <cell r="K6345">
            <v>0</v>
          </cell>
        </row>
        <row r="6346">
          <cell r="A6346">
            <v>0</v>
          </cell>
          <cell r="K6346">
            <v>0</v>
          </cell>
        </row>
        <row r="6347">
          <cell r="A6347">
            <v>0</v>
          </cell>
          <cell r="K6347">
            <v>0</v>
          </cell>
        </row>
        <row r="6348">
          <cell r="A6348">
            <v>0</v>
          </cell>
          <cell r="K6348">
            <v>0</v>
          </cell>
        </row>
        <row r="6349">
          <cell r="A6349">
            <v>0</v>
          </cell>
          <cell r="K6349">
            <v>0</v>
          </cell>
        </row>
        <row r="6350">
          <cell r="A6350">
            <v>0</v>
          </cell>
          <cell r="K6350">
            <v>0</v>
          </cell>
        </row>
        <row r="6351">
          <cell r="A6351">
            <v>0</v>
          </cell>
          <cell r="K6351">
            <v>0</v>
          </cell>
        </row>
        <row r="6352">
          <cell r="A6352">
            <v>0</v>
          </cell>
          <cell r="K6352">
            <v>0</v>
          </cell>
        </row>
        <row r="6353">
          <cell r="A6353">
            <v>0</v>
          </cell>
          <cell r="K6353">
            <v>0</v>
          </cell>
        </row>
        <row r="6354">
          <cell r="A6354">
            <v>0</v>
          </cell>
          <cell r="K6354">
            <v>0</v>
          </cell>
        </row>
        <row r="6355">
          <cell r="A6355">
            <v>0</v>
          </cell>
          <cell r="K6355">
            <v>0</v>
          </cell>
        </row>
        <row r="6356">
          <cell r="A6356">
            <v>0</v>
          </cell>
          <cell r="K6356">
            <v>0</v>
          </cell>
        </row>
        <row r="6357">
          <cell r="A6357">
            <v>0</v>
          </cell>
          <cell r="K6357">
            <v>0</v>
          </cell>
        </row>
        <row r="6358">
          <cell r="A6358">
            <v>0</v>
          </cell>
          <cell r="K6358">
            <v>0</v>
          </cell>
        </row>
        <row r="6359">
          <cell r="A6359">
            <v>0</v>
          </cell>
          <cell r="K6359">
            <v>0</v>
          </cell>
        </row>
        <row r="6360">
          <cell r="A6360">
            <v>0</v>
          </cell>
          <cell r="K6360">
            <v>0</v>
          </cell>
        </row>
        <row r="6361">
          <cell r="A6361">
            <v>0</v>
          </cell>
          <cell r="K6361">
            <v>0</v>
          </cell>
        </row>
        <row r="6362">
          <cell r="A6362">
            <v>0</v>
          </cell>
          <cell r="K6362">
            <v>0</v>
          </cell>
        </row>
        <row r="6363">
          <cell r="A6363">
            <v>0</v>
          </cell>
          <cell r="K6363">
            <v>0</v>
          </cell>
        </row>
        <row r="6364">
          <cell r="A6364">
            <v>0</v>
          </cell>
          <cell r="K6364">
            <v>0</v>
          </cell>
        </row>
        <row r="6365">
          <cell r="A6365">
            <v>0</v>
          </cell>
          <cell r="K6365">
            <v>0</v>
          </cell>
        </row>
        <row r="6366">
          <cell r="A6366">
            <v>0</v>
          </cell>
          <cell r="K6366">
            <v>0</v>
          </cell>
        </row>
        <row r="6367">
          <cell r="A6367">
            <v>0</v>
          </cell>
          <cell r="K6367">
            <v>0</v>
          </cell>
        </row>
        <row r="6368">
          <cell r="A6368">
            <v>0</v>
          </cell>
          <cell r="K6368">
            <v>0</v>
          </cell>
        </row>
        <row r="6369">
          <cell r="A6369">
            <v>0</v>
          </cell>
          <cell r="K6369">
            <v>0</v>
          </cell>
        </row>
        <row r="6370">
          <cell r="A6370">
            <v>0</v>
          </cell>
          <cell r="K6370">
            <v>0</v>
          </cell>
        </row>
        <row r="6371">
          <cell r="A6371">
            <v>0</v>
          </cell>
          <cell r="K6371">
            <v>0</v>
          </cell>
        </row>
        <row r="6372">
          <cell r="A6372">
            <v>0</v>
          </cell>
          <cell r="K6372">
            <v>0</v>
          </cell>
        </row>
        <row r="6373">
          <cell r="A6373">
            <v>0</v>
          </cell>
          <cell r="K6373">
            <v>0</v>
          </cell>
        </row>
        <row r="6374">
          <cell r="A6374">
            <v>0</v>
          </cell>
          <cell r="K6374">
            <v>0</v>
          </cell>
        </row>
        <row r="6375">
          <cell r="A6375">
            <v>0</v>
          </cell>
          <cell r="K6375">
            <v>0</v>
          </cell>
        </row>
        <row r="6376">
          <cell r="A6376">
            <v>0</v>
          </cell>
          <cell r="K6376">
            <v>0</v>
          </cell>
        </row>
        <row r="6377">
          <cell r="A6377">
            <v>0</v>
          </cell>
          <cell r="K6377">
            <v>0</v>
          </cell>
        </row>
        <row r="6378">
          <cell r="A6378">
            <v>0</v>
          </cell>
          <cell r="K6378">
            <v>0</v>
          </cell>
        </row>
        <row r="6379">
          <cell r="A6379">
            <v>0</v>
          </cell>
          <cell r="K6379">
            <v>0</v>
          </cell>
        </row>
        <row r="6380">
          <cell r="A6380">
            <v>0</v>
          </cell>
          <cell r="K6380">
            <v>0</v>
          </cell>
        </row>
        <row r="6381">
          <cell r="A6381">
            <v>0</v>
          </cell>
          <cell r="K6381">
            <v>0</v>
          </cell>
        </row>
        <row r="6382">
          <cell r="A6382">
            <v>0</v>
          </cell>
          <cell r="K6382">
            <v>0</v>
          </cell>
        </row>
        <row r="6383">
          <cell r="A6383">
            <v>0</v>
          </cell>
          <cell r="K6383">
            <v>0</v>
          </cell>
        </row>
        <row r="6384">
          <cell r="A6384">
            <v>0</v>
          </cell>
          <cell r="K6384">
            <v>0</v>
          </cell>
        </row>
        <row r="6385">
          <cell r="A6385">
            <v>0</v>
          </cell>
          <cell r="K6385">
            <v>0</v>
          </cell>
        </row>
        <row r="6386">
          <cell r="A6386">
            <v>0</v>
          </cell>
          <cell r="K6386">
            <v>0</v>
          </cell>
        </row>
        <row r="6387">
          <cell r="A6387">
            <v>0</v>
          </cell>
          <cell r="K6387">
            <v>0</v>
          </cell>
        </row>
        <row r="6388">
          <cell r="A6388">
            <v>0</v>
          </cell>
          <cell r="K6388">
            <v>0</v>
          </cell>
        </row>
        <row r="6389">
          <cell r="A6389">
            <v>0</v>
          </cell>
          <cell r="K6389">
            <v>0</v>
          </cell>
        </row>
        <row r="6390">
          <cell r="A6390">
            <v>0</v>
          </cell>
          <cell r="K6390">
            <v>0</v>
          </cell>
        </row>
        <row r="6391">
          <cell r="A6391">
            <v>0</v>
          </cell>
          <cell r="K6391">
            <v>0</v>
          </cell>
        </row>
        <row r="6392">
          <cell r="A6392">
            <v>0</v>
          </cell>
          <cell r="K6392">
            <v>0</v>
          </cell>
        </row>
        <row r="6393">
          <cell r="A6393">
            <v>0</v>
          </cell>
          <cell r="K6393">
            <v>0</v>
          </cell>
        </row>
        <row r="6394">
          <cell r="A6394">
            <v>0</v>
          </cell>
          <cell r="K6394">
            <v>0</v>
          </cell>
        </row>
        <row r="6395">
          <cell r="A6395">
            <v>0</v>
          </cell>
          <cell r="K6395">
            <v>0</v>
          </cell>
        </row>
        <row r="6396">
          <cell r="A6396">
            <v>0</v>
          </cell>
          <cell r="K6396">
            <v>0</v>
          </cell>
        </row>
        <row r="6397">
          <cell r="A6397">
            <v>0</v>
          </cell>
          <cell r="K6397">
            <v>0</v>
          </cell>
        </row>
        <row r="6398">
          <cell r="A6398">
            <v>0</v>
          </cell>
          <cell r="K6398">
            <v>0</v>
          </cell>
        </row>
        <row r="6399">
          <cell r="A6399">
            <v>0</v>
          </cell>
          <cell r="K6399">
            <v>0</v>
          </cell>
        </row>
        <row r="6400">
          <cell r="A6400">
            <v>0</v>
          </cell>
          <cell r="K6400">
            <v>0</v>
          </cell>
        </row>
        <row r="6401">
          <cell r="A6401">
            <v>0</v>
          </cell>
          <cell r="K6401">
            <v>0</v>
          </cell>
        </row>
        <row r="6402">
          <cell r="A6402">
            <v>0</v>
          </cell>
          <cell r="K6402">
            <v>0</v>
          </cell>
        </row>
        <row r="6403">
          <cell r="A6403">
            <v>0</v>
          </cell>
          <cell r="K6403">
            <v>0</v>
          </cell>
        </row>
        <row r="6404">
          <cell r="A6404">
            <v>0</v>
          </cell>
          <cell r="K6404">
            <v>0</v>
          </cell>
        </row>
        <row r="6405">
          <cell r="A6405">
            <v>0</v>
          </cell>
          <cell r="K6405">
            <v>0</v>
          </cell>
        </row>
        <row r="6406">
          <cell r="A6406">
            <v>0</v>
          </cell>
          <cell r="K6406">
            <v>0</v>
          </cell>
        </row>
        <row r="6407">
          <cell r="A6407">
            <v>0</v>
          </cell>
          <cell r="K6407">
            <v>0</v>
          </cell>
        </row>
        <row r="6408">
          <cell r="A6408">
            <v>0</v>
          </cell>
          <cell r="K6408">
            <v>0</v>
          </cell>
        </row>
        <row r="6409">
          <cell r="A6409">
            <v>0</v>
          </cell>
          <cell r="K6409">
            <v>0</v>
          </cell>
        </row>
        <row r="6410">
          <cell r="A6410">
            <v>0</v>
          </cell>
          <cell r="K6410">
            <v>0</v>
          </cell>
        </row>
        <row r="6411">
          <cell r="A6411">
            <v>0</v>
          </cell>
          <cell r="K6411">
            <v>0</v>
          </cell>
        </row>
        <row r="6412">
          <cell r="A6412">
            <v>0</v>
          </cell>
          <cell r="K6412">
            <v>0</v>
          </cell>
        </row>
        <row r="6413">
          <cell r="A6413">
            <v>0</v>
          </cell>
          <cell r="K6413">
            <v>0</v>
          </cell>
        </row>
        <row r="6414">
          <cell r="A6414">
            <v>0</v>
          </cell>
          <cell r="K6414">
            <v>0</v>
          </cell>
        </row>
        <row r="6415">
          <cell r="A6415">
            <v>0</v>
          </cell>
          <cell r="K6415">
            <v>0</v>
          </cell>
        </row>
        <row r="6416">
          <cell r="A6416">
            <v>0</v>
          </cell>
          <cell r="K6416">
            <v>0</v>
          </cell>
        </row>
        <row r="6417">
          <cell r="A6417">
            <v>0</v>
          </cell>
          <cell r="K6417">
            <v>0</v>
          </cell>
        </row>
        <row r="6418">
          <cell r="A6418">
            <v>0</v>
          </cell>
          <cell r="K6418">
            <v>0</v>
          </cell>
        </row>
        <row r="6419">
          <cell r="A6419">
            <v>0</v>
          </cell>
          <cell r="K6419">
            <v>0</v>
          </cell>
        </row>
        <row r="6420">
          <cell r="A6420">
            <v>0</v>
          </cell>
          <cell r="K6420">
            <v>0</v>
          </cell>
        </row>
        <row r="6421">
          <cell r="A6421">
            <v>0</v>
          </cell>
          <cell r="K6421">
            <v>0</v>
          </cell>
        </row>
        <row r="6422">
          <cell r="A6422">
            <v>0</v>
          </cell>
          <cell r="K6422">
            <v>0</v>
          </cell>
        </row>
        <row r="6423">
          <cell r="A6423">
            <v>0</v>
          </cell>
          <cell r="K6423">
            <v>0</v>
          </cell>
        </row>
        <row r="6424">
          <cell r="A6424">
            <v>0</v>
          </cell>
          <cell r="K6424">
            <v>0</v>
          </cell>
        </row>
        <row r="6425">
          <cell r="A6425">
            <v>0</v>
          </cell>
          <cell r="K6425">
            <v>0</v>
          </cell>
        </row>
        <row r="6426">
          <cell r="A6426">
            <v>0</v>
          </cell>
          <cell r="K6426">
            <v>0</v>
          </cell>
        </row>
        <row r="6427">
          <cell r="A6427">
            <v>0</v>
          </cell>
          <cell r="K6427">
            <v>0</v>
          </cell>
        </row>
        <row r="6428">
          <cell r="A6428">
            <v>0</v>
          </cell>
          <cell r="K6428">
            <v>0</v>
          </cell>
        </row>
        <row r="6429">
          <cell r="A6429">
            <v>0</v>
          </cell>
          <cell r="K6429">
            <v>0</v>
          </cell>
        </row>
        <row r="6430">
          <cell r="A6430">
            <v>0</v>
          </cell>
          <cell r="K6430">
            <v>0</v>
          </cell>
        </row>
        <row r="6431">
          <cell r="A6431">
            <v>0</v>
          </cell>
          <cell r="K6431">
            <v>0</v>
          </cell>
        </row>
        <row r="6432">
          <cell r="A6432">
            <v>0</v>
          </cell>
          <cell r="K6432">
            <v>0</v>
          </cell>
        </row>
        <row r="6433">
          <cell r="A6433">
            <v>0</v>
          </cell>
          <cell r="K6433">
            <v>0</v>
          </cell>
        </row>
        <row r="6434">
          <cell r="A6434">
            <v>0</v>
          </cell>
          <cell r="K6434">
            <v>0</v>
          </cell>
        </row>
        <row r="6435">
          <cell r="A6435">
            <v>0</v>
          </cell>
          <cell r="K6435">
            <v>0</v>
          </cell>
        </row>
        <row r="6436">
          <cell r="A6436">
            <v>0</v>
          </cell>
          <cell r="K6436">
            <v>0</v>
          </cell>
        </row>
        <row r="6437">
          <cell r="A6437">
            <v>0</v>
          </cell>
          <cell r="K6437">
            <v>0</v>
          </cell>
        </row>
        <row r="6438">
          <cell r="A6438">
            <v>0</v>
          </cell>
          <cell r="K6438">
            <v>0</v>
          </cell>
        </row>
        <row r="6439">
          <cell r="A6439">
            <v>0</v>
          </cell>
          <cell r="K6439">
            <v>0</v>
          </cell>
        </row>
        <row r="6440">
          <cell r="A6440">
            <v>0</v>
          </cell>
          <cell r="K6440">
            <v>0</v>
          </cell>
        </row>
        <row r="6441">
          <cell r="A6441">
            <v>0</v>
          </cell>
          <cell r="K6441">
            <v>0</v>
          </cell>
        </row>
        <row r="6442">
          <cell r="A6442">
            <v>0</v>
          </cell>
          <cell r="K6442">
            <v>0</v>
          </cell>
        </row>
        <row r="6443">
          <cell r="A6443">
            <v>0</v>
          </cell>
          <cell r="K6443">
            <v>0</v>
          </cell>
        </row>
        <row r="6444">
          <cell r="A6444">
            <v>0</v>
          </cell>
          <cell r="K6444">
            <v>0</v>
          </cell>
        </row>
        <row r="6445">
          <cell r="A6445">
            <v>0</v>
          </cell>
          <cell r="K6445">
            <v>0</v>
          </cell>
        </row>
        <row r="6446">
          <cell r="A6446">
            <v>0</v>
          </cell>
          <cell r="K6446">
            <v>0</v>
          </cell>
        </row>
        <row r="6447">
          <cell r="A6447">
            <v>0</v>
          </cell>
          <cell r="K6447">
            <v>0</v>
          </cell>
        </row>
        <row r="6448">
          <cell r="A6448">
            <v>0</v>
          </cell>
          <cell r="K6448">
            <v>0</v>
          </cell>
        </row>
        <row r="6449">
          <cell r="A6449">
            <v>0</v>
          </cell>
          <cell r="K6449">
            <v>0</v>
          </cell>
        </row>
        <row r="6450">
          <cell r="A6450">
            <v>0</v>
          </cell>
          <cell r="K6450">
            <v>0</v>
          </cell>
        </row>
        <row r="6451">
          <cell r="A6451">
            <v>0</v>
          </cell>
          <cell r="K6451">
            <v>0</v>
          </cell>
        </row>
        <row r="6452">
          <cell r="A6452">
            <v>0</v>
          </cell>
          <cell r="K6452">
            <v>0</v>
          </cell>
        </row>
        <row r="6453">
          <cell r="A6453">
            <v>0</v>
          </cell>
          <cell r="K6453">
            <v>0</v>
          </cell>
        </row>
        <row r="6454">
          <cell r="A6454">
            <v>0</v>
          </cell>
          <cell r="K6454">
            <v>0</v>
          </cell>
        </row>
        <row r="6455">
          <cell r="A6455">
            <v>0</v>
          </cell>
          <cell r="K6455">
            <v>0</v>
          </cell>
        </row>
        <row r="6456">
          <cell r="A6456">
            <v>0</v>
          </cell>
          <cell r="K6456">
            <v>0</v>
          </cell>
        </row>
        <row r="6457">
          <cell r="A6457">
            <v>0</v>
          </cell>
          <cell r="K6457">
            <v>0</v>
          </cell>
        </row>
        <row r="6458">
          <cell r="A6458">
            <v>0</v>
          </cell>
          <cell r="K6458">
            <v>0</v>
          </cell>
        </row>
        <row r="6459">
          <cell r="A6459">
            <v>0</v>
          </cell>
          <cell r="K6459">
            <v>0</v>
          </cell>
        </row>
        <row r="6460">
          <cell r="A6460">
            <v>0</v>
          </cell>
          <cell r="K6460">
            <v>0</v>
          </cell>
        </row>
        <row r="6461">
          <cell r="A6461">
            <v>0</v>
          </cell>
          <cell r="K6461">
            <v>0</v>
          </cell>
        </row>
        <row r="6462">
          <cell r="A6462">
            <v>0</v>
          </cell>
          <cell r="K6462">
            <v>0</v>
          </cell>
        </row>
        <row r="6463">
          <cell r="A6463">
            <v>0</v>
          </cell>
          <cell r="K6463">
            <v>0</v>
          </cell>
        </row>
        <row r="6464">
          <cell r="A6464">
            <v>0</v>
          </cell>
          <cell r="K6464">
            <v>0</v>
          </cell>
        </row>
        <row r="6465">
          <cell r="A6465">
            <v>0</v>
          </cell>
          <cell r="K6465">
            <v>0</v>
          </cell>
        </row>
        <row r="6466">
          <cell r="A6466">
            <v>0</v>
          </cell>
          <cell r="K6466">
            <v>0</v>
          </cell>
        </row>
        <row r="6467">
          <cell r="A6467">
            <v>0</v>
          </cell>
          <cell r="K6467">
            <v>0</v>
          </cell>
        </row>
        <row r="6468">
          <cell r="A6468">
            <v>0</v>
          </cell>
          <cell r="K6468">
            <v>0</v>
          </cell>
        </row>
        <row r="6469">
          <cell r="A6469">
            <v>0</v>
          </cell>
          <cell r="K6469">
            <v>0</v>
          </cell>
        </row>
        <row r="6470">
          <cell r="A6470">
            <v>0</v>
          </cell>
          <cell r="K6470">
            <v>0</v>
          </cell>
        </row>
        <row r="6471">
          <cell r="A6471">
            <v>0</v>
          </cell>
          <cell r="K6471">
            <v>0</v>
          </cell>
        </row>
        <row r="6472">
          <cell r="A6472">
            <v>0</v>
          </cell>
          <cell r="K6472">
            <v>0</v>
          </cell>
        </row>
        <row r="6473">
          <cell r="A6473">
            <v>0</v>
          </cell>
          <cell r="K6473">
            <v>0</v>
          </cell>
        </row>
        <row r="6474">
          <cell r="A6474">
            <v>0</v>
          </cell>
          <cell r="K6474">
            <v>0</v>
          </cell>
        </row>
        <row r="6475">
          <cell r="A6475">
            <v>0</v>
          </cell>
          <cell r="K6475">
            <v>0</v>
          </cell>
        </row>
        <row r="6476">
          <cell r="A6476">
            <v>0</v>
          </cell>
          <cell r="K6476">
            <v>0</v>
          </cell>
        </row>
        <row r="6477">
          <cell r="A6477">
            <v>0</v>
          </cell>
          <cell r="K6477">
            <v>0</v>
          </cell>
        </row>
        <row r="6478">
          <cell r="A6478">
            <v>0</v>
          </cell>
          <cell r="K6478">
            <v>0</v>
          </cell>
        </row>
        <row r="6479">
          <cell r="A6479">
            <v>0</v>
          </cell>
          <cell r="K6479">
            <v>0</v>
          </cell>
        </row>
        <row r="6480">
          <cell r="A6480">
            <v>0</v>
          </cell>
          <cell r="K6480">
            <v>0</v>
          </cell>
        </row>
        <row r="6481">
          <cell r="A6481">
            <v>0</v>
          </cell>
          <cell r="K6481">
            <v>0</v>
          </cell>
        </row>
        <row r="6482">
          <cell r="A6482">
            <v>0</v>
          </cell>
          <cell r="K6482">
            <v>0</v>
          </cell>
        </row>
        <row r="6483">
          <cell r="A6483">
            <v>0</v>
          </cell>
          <cell r="K6483">
            <v>0</v>
          </cell>
        </row>
        <row r="6484">
          <cell r="A6484">
            <v>0</v>
          </cell>
          <cell r="K6484">
            <v>0</v>
          </cell>
        </row>
        <row r="6485">
          <cell r="A6485">
            <v>0</v>
          </cell>
          <cell r="K6485">
            <v>0</v>
          </cell>
        </row>
        <row r="6486">
          <cell r="A6486">
            <v>0</v>
          </cell>
          <cell r="K6486">
            <v>0</v>
          </cell>
        </row>
        <row r="6487">
          <cell r="A6487">
            <v>0</v>
          </cell>
          <cell r="K6487">
            <v>0</v>
          </cell>
        </row>
        <row r="6488">
          <cell r="A6488">
            <v>0</v>
          </cell>
          <cell r="K6488">
            <v>0</v>
          </cell>
        </row>
        <row r="6489">
          <cell r="A6489">
            <v>0</v>
          </cell>
          <cell r="K6489">
            <v>0</v>
          </cell>
        </row>
        <row r="6490">
          <cell r="A6490">
            <v>0</v>
          </cell>
          <cell r="K6490">
            <v>0</v>
          </cell>
        </row>
        <row r="6491">
          <cell r="A6491">
            <v>0</v>
          </cell>
          <cell r="K6491">
            <v>0</v>
          </cell>
        </row>
        <row r="6492">
          <cell r="A6492">
            <v>0</v>
          </cell>
          <cell r="K6492">
            <v>0</v>
          </cell>
        </row>
        <row r="6493">
          <cell r="A6493">
            <v>0</v>
          </cell>
          <cell r="K6493">
            <v>0</v>
          </cell>
        </row>
        <row r="6494">
          <cell r="A6494">
            <v>0</v>
          </cell>
          <cell r="K6494">
            <v>0</v>
          </cell>
        </row>
        <row r="6495">
          <cell r="A6495">
            <v>0</v>
          </cell>
          <cell r="K6495">
            <v>0</v>
          </cell>
        </row>
        <row r="6496">
          <cell r="A6496">
            <v>0</v>
          </cell>
          <cell r="K6496">
            <v>0</v>
          </cell>
        </row>
        <row r="6497">
          <cell r="A6497">
            <v>0</v>
          </cell>
          <cell r="K6497">
            <v>0</v>
          </cell>
        </row>
        <row r="6498">
          <cell r="A6498">
            <v>0</v>
          </cell>
          <cell r="K6498">
            <v>0</v>
          </cell>
        </row>
        <row r="6499">
          <cell r="A6499">
            <v>0</v>
          </cell>
          <cell r="K6499">
            <v>0</v>
          </cell>
        </row>
        <row r="6500">
          <cell r="A6500">
            <v>0</v>
          </cell>
          <cell r="K6500">
            <v>0</v>
          </cell>
        </row>
        <row r="6501">
          <cell r="A6501">
            <v>0</v>
          </cell>
          <cell r="K6501">
            <v>0</v>
          </cell>
        </row>
        <row r="6502">
          <cell r="A6502">
            <v>0</v>
          </cell>
          <cell r="K6502">
            <v>0</v>
          </cell>
        </row>
        <row r="6503">
          <cell r="A6503">
            <v>0</v>
          </cell>
          <cell r="K6503">
            <v>0</v>
          </cell>
        </row>
        <row r="6504">
          <cell r="A6504">
            <v>0</v>
          </cell>
          <cell r="K6504">
            <v>0</v>
          </cell>
        </row>
        <row r="6505">
          <cell r="A6505">
            <v>0</v>
          </cell>
          <cell r="K6505">
            <v>0</v>
          </cell>
        </row>
        <row r="6506">
          <cell r="A6506">
            <v>0</v>
          </cell>
          <cell r="K6506">
            <v>0</v>
          </cell>
        </row>
        <row r="6507">
          <cell r="A6507">
            <v>0</v>
          </cell>
          <cell r="K6507">
            <v>0</v>
          </cell>
        </row>
        <row r="6508">
          <cell r="A6508">
            <v>0</v>
          </cell>
          <cell r="K6508">
            <v>0</v>
          </cell>
        </row>
        <row r="6509">
          <cell r="A6509">
            <v>0</v>
          </cell>
          <cell r="K6509">
            <v>0</v>
          </cell>
        </row>
        <row r="6510">
          <cell r="A6510">
            <v>0</v>
          </cell>
          <cell r="K6510">
            <v>0</v>
          </cell>
        </row>
        <row r="6511">
          <cell r="A6511">
            <v>0</v>
          </cell>
          <cell r="K6511">
            <v>0</v>
          </cell>
        </row>
        <row r="6512">
          <cell r="A6512">
            <v>0</v>
          </cell>
          <cell r="K6512">
            <v>0</v>
          </cell>
        </row>
        <row r="6513">
          <cell r="A6513">
            <v>0</v>
          </cell>
          <cell r="K6513">
            <v>0</v>
          </cell>
        </row>
        <row r="6514">
          <cell r="A6514">
            <v>0</v>
          </cell>
          <cell r="K6514">
            <v>0</v>
          </cell>
        </row>
        <row r="6515">
          <cell r="A6515">
            <v>0</v>
          </cell>
          <cell r="K6515">
            <v>0</v>
          </cell>
        </row>
        <row r="6516">
          <cell r="A6516">
            <v>0</v>
          </cell>
          <cell r="K6516">
            <v>0</v>
          </cell>
        </row>
        <row r="6517">
          <cell r="A6517">
            <v>0</v>
          </cell>
          <cell r="K6517">
            <v>0</v>
          </cell>
        </row>
        <row r="6518">
          <cell r="A6518">
            <v>0</v>
          </cell>
          <cell r="K6518">
            <v>0</v>
          </cell>
        </row>
        <row r="6519">
          <cell r="A6519">
            <v>0</v>
          </cell>
          <cell r="K6519">
            <v>0</v>
          </cell>
        </row>
        <row r="6520">
          <cell r="A6520">
            <v>0</v>
          </cell>
          <cell r="K6520">
            <v>0</v>
          </cell>
        </row>
        <row r="6521">
          <cell r="A6521">
            <v>0</v>
          </cell>
          <cell r="K6521">
            <v>0</v>
          </cell>
        </row>
        <row r="6522">
          <cell r="A6522">
            <v>0</v>
          </cell>
          <cell r="K6522">
            <v>0</v>
          </cell>
        </row>
        <row r="6523">
          <cell r="A6523">
            <v>0</v>
          </cell>
          <cell r="K6523">
            <v>0</v>
          </cell>
        </row>
        <row r="6524">
          <cell r="A6524">
            <v>0</v>
          </cell>
          <cell r="K6524">
            <v>0</v>
          </cell>
        </row>
        <row r="6525">
          <cell r="A6525">
            <v>0</v>
          </cell>
          <cell r="K6525">
            <v>0</v>
          </cell>
        </row>
        <row r="6526">
          <cell r="A6526">
            <v>0</v>
          </cell>
          <cell r="K6526">
            <v>0</v>
          </cell>
        </row>
        <row r="6527">
          <cell r="A6527">
            <v>0</v>
          </cell>
          <cell r="K6527">
            <v>0</v>
          </cell>
        </row>
        <row r="6528">
          <cell r="A6528">
            <v>0</v>
          </cell>
          <cell r="K6528">
            <v>0</v>
          </cell>
        </row>
        <row r="6529">
          <cell r="A6529">
            <v>0</v>
          </cell>
          <cell r="K6529">
            <v>0</v>
          </cell>
        </row>
        <row r="6530">
          <cell r="A6530">
            <v>0</v>
          </cell>
          <cell r="K6530">
            <v>0</v>
          </cell>
        </row>
        <row r="6531">
          <cell r="A6531">
            <v>0</v>
          </cell>
          <cell r="K6531">
            <v>0</v>
          </cell>
        </row>
        <row r="6532">
          <cell r="A6532">
            <v>0</v>
          </cell>
          <cell r="K6532">
            <v>0</v>
          </cell>
        </row>
        <row r="6533">
          <cell r="A6533">
            <v>0</v>
          </cell>
          <cell r="K6533">
            <v>0</v>
          </cell>
        </row>
        <row r="6534">
          <cell r="A6534">
            <v>0</v>
          </cell>
          <cell r="K6534">
            <v>0</v>
          </cell>
        </row>
        <row r="6535">
          <cell r="A6535">
            <v>0</v>
          </cell>
          <cell r="K6535">
            <v>0</v>
          </cell>
        </row>
        <row r="6536">
          <cell r="A6536">
            <v>0</v>
          </cell>
          <cell r="K6536">
            <v>0</v>
          </cell>
        </row>
        <row r="6537">
          <cell r="A6537">
            <v>0</v>
          </cell>
          <cell r="K6537">
            <v>0</v>
          </cell>
        </row>
        <row r="6538">
          <cell r="A6538">
            <v>0</v>
          </cell>
          <cell r="K6538">
            <v>0</v>
          </cell>
        </row>
        <row r="6539">
          <cell r="A6539">
            <v>0</v>
          </cell>
          <cell r="K6539">
            <v>0</v>
          </cell>
        </row>
        <row r="6540">
          <cell r="A6540">
            <v>0</v>
          </cell>
          <cell r="K6540">
            <v>0</v>
          </cell>
        </row>
        <row r="6541">
          <cell r="A6541">
            <v>0</v>
          </cell>
          <cell r="K6541">
            <v>0</v>
          </cell>
        </row>
        <row r="6542">
          <cell r="A6542">
            <v>0</v>
          </cell>
          <cell r="K6542">
            <v>0</v>
          </cell>
        </row>
        <row r="6543">
          <cell r="A6543">
            <v>0</v>
          </cell>
          <cell r="K6543">
            <v>0</v>
          </cell>
        </row>
        <row r="6544">
          <cell r="A6544">
            <v>0</v>
          </cell>
          <cell r="K6544">
            <v>0</v>
          </cell>
        </row>
        <row r="6545">
          <cell r="A6545">
            <v>0</v>
          </cell>
          <cell r="K6545">
            <v>0</v>
          </cell>
        </row>
        <row r="6546">
          <cell r="A6546">
            <v>0</v>
          </cell>
          <cell r="K6546">
            <v>0</v>
          </cell>
        </row>
        <row r="6547">
          <cell r="A6547">
            <v>0</v>
          </cell>
          <cell r="K6547">
            <v>0</v>
          </cell>
        </row>
        <row r="6548">
          <cell r="A6548">
            <v>0</v>
          </cell>
          <cell r="K6548">
            <v>0</v>
          </cell>
        </row>
        <row r="6549">
          <cell r="A6549">
            <v>0</v>
          </cell>
          <cell r="K6549">
            <v>0</v>
          </cell>
        </row>
        <row r="6550">
          <cell r="A6550">
            <v>0</v>
          </cell>
          <cell r="K6550">
            <v>0</v>
          </cell>
        </row>
        <row r="6551">
          <cell r="A6551">
            <v>0</v>
          </cell>
          <cell r="K6551">
            <v>0</v>
          </cell>
        </row>
        <row r="6552">
          <cell r="A6552">
            <v>0</v>
          </cell>
          <cell r="K6552">
            <v>0</v>
          </cell>
        </row>
        <row r="6553">
          <cell r="A6553">
            <v>0</v>
          </cell>
          <cell r="K6553">
            <v>0</v>
          </cell>
        </row>
        <row r="6554">
          <cell r="A6554">
            <v>0</v>
          </cell>
          <cell r="K6554">
            <v>0</v>
          </cell>
        </row>
        <row r="6555">
          <cell r="A6555">
            <v>0</v>
          </cell>
          <cell r="K6555">
            <v>0</v>
          </cell>
        </row>
        <row r="6556">
          <cell r="A6556">
            <v>0</v>
          </cell>
          <cell r="K6556">
            <v>0</v>
          </cell>
        </row>
        <row r="6557">
          <cell r="A6557">
            <v>0</v>
          </cell>
          <cell r="K6557">
            <v>0</v>
          </cell>
        </row>
        <row r="6558">
          <cell r="A6558">
            <v>0</v>
          </cell>
          <cell r="K6558">
            <v>0</v>
          </cell>
        </row>
        <row r="6559">
          <cell r="A6559">
            <v>0</v>
          </cell>
          <cell r="K6559">
            <v>0</v>
          </cell>
        </row>
        <row r="6560">
          <cell r="A6560">
            <v>0</v>
          </cell>
          <cell r="K6560">
            <v>0</v>
          </cell>
        </row>
        <row r="6561">
          <cell r="A6561">
            <v>0</v>
          </cell>
          <cell r="K6561">
            <v>0</v>
          </cell>
        </row>
        <row r="6562">
          <cell r="A6562">
            <v>0</v>
          </cell>
          <cell r="K6562">
            <v>0</v>
          </cell>
        </row>
        <row r="6563">
          <cell r="A6563">
            <v>0</v>
          </cell>
          <cell r="K6563">
            <v>0</v>
          </cell>
        </row>
        <row r="6564">
          <cell r="A6564">
            <v>0</v>
          </cell>
          <cell r="K6564">
            <v>0</v>
          </cell>
        </row>
        <row r="6565">
          <cell r="A6565">
            <v>0</v>
          </cell>
          <cell r="K6565">
            <v>0</v>
          </cell>
        </row>
        <row r="6566">
          <cell r="A6566">
            <v>0</v>
          </cell>
          <cell r="K6566">
            <v>0</v>
          </cell>
        </row>
        <row r="6567">
          <cell r="A6567">
            <v>0</v>
          </cell>
          <cell r="K6567">
            <v>0</v>
          </cell>
        </row>
        <row r="6568">
          <cell r="A6568">
            <v>0</v>
          </cell>
          <cell r="K6568">
            <v>0</v>
          </cell>
        </row>
        <row r="6569">
          <cell r="A6569">
            <v>0</v>
          </cell>
          <cell r="K6569">
            <v>0</v>
          </cell>
        </row>
        <row r="6570">
          <cell r="A6570">
            <v>0</v>
          </cell>
          <cell r="K6570">
            <v>0</v>
          </cell>
        </row>
        <row r="6571">
          <cell r="A6571">
            <v>0</v>
          </cell>
          <cell r="K6571">
            <v>0</v>
          </cell>
        </row>
        <row r="6572">
          <cell r="A6572">
            <v>0</v>
          </cell>
          <cell r="K6572">
            <v>0</v>
          </cell>
        </row>
        <row r="6573">
          <cell r="A6573">
            <v>0</v>
          </cell>
          <cell r="K6573">
            <v>0</v>
          </cell>
        </row>
        <row r="6574">
          <cell r="A6574">
            <v>0</v>
          </cell>
          <cell r="K6574">
            <v>0</v>
          </cell>
        </row>
        <row r="6575">
          <cell r="A6575">
            <v>0</v>
          </cell>
          <cell r="K6575">
            <v>0</v>
          </cell>
        </row>
        <row r="6576">
          <cell r="A6576">
            <v>0</v>
          </cell>
          <cell r="K6576">
            <v>0</v>
          </cell>
        </row>
        <row r="6577">
          <cell r="A6577">
            <v>0</v>
          </cell>
          <cell r="K6577">
            <v>0</v>
          </cell>
        </row>
        <row r="6578">
          <cell r="A6578">
            <v>0</v>
          </cell>
          <cell r="K6578">
            <v>0</v>
          </cell>
        </row>
        <row r="6579">
          <cell r="A6579">
            <v>0</v>
          </cell>
          <cell r="K6579">
            <v>0</v>
          </cell>
        </row>
        <row r="6580">
          <cell r="A6580">
            <v>0</v>
          </cell>
          <cell r="K6580">
            <v>0</v>
          </cell>
        </row>
        <row r="6581">
          <cell r="A6581">
            <v>0</v>
          </cell>
          <cell r="K6581">
            <v>0</v>
          </cell>
        </row>
        <row r="6582">
          <cell r="A6582">
            <v>0</v>
          </cell>
          <cell r="K6582">
            <v>0</v>
          </cell>
        </row>
        <row r="6583">
          <cell r="A6583">
            <v>0</v>
          </cell>
          <cell r="K6583">
            <v>0</v>
          </cell>
        </row>
        <row r="6584">
          <cell r="A6584">
            <v>0</v>
          </cell>
          <cell r="K6584">
            <v>0</v>
          </cell>
        </row>
        <row r="6585">
          <cell r="A6585">
            <v>0</v>
          </cell>
          <cell r="K6585">
            <v>0</v>
          </cell>
        </row>
        <row r="6586">
          <cell r="A6586">
            <v>0</v>
          </cell>
          <cell r="K6586">
            <v>0</v>
          </cell>
        </row>
        <row r="6587">
          <cell r="A6587">
            <v>0</v>
          </cell>
          <cell r="K6587">
            <v>0</v>
          </cell>
        </row>
        <row r="6588">
          <cell r="A6588">
            <v>0</v>
          </cell>
          <cell r="K6588">
            <v>0</v>
          </cell>
        </row>
        <row r="6589">
          <cell r="A6589">
            <v>0</v>
          </cell>
          <cell r="K6589">
            <v>0</v>
          </cell>
        </row>
        <row r="6590">
          <cell r="A6590">
            <v>0</v>
          </cell>
          <cell r="K6590">
            <v>0</v>
          </cell>
        </row>
        <row r="6591">
          <cell r="A6591">
            <v>0</v>
          </cell>
          <cell r="K6591">
            <v>0</v>
          </cell>
        </row>
        <row r="6592">
          <cell r="A6592">
            <v>0</v>
          </cell>
          <cell r="K6592">
            <v>0</v>
          </cell>
        </row>
        <row r="6593">
          <cell r="A6593">
            <v>0</v>
          </cell>
          <cell r="K6593">
            <v>0</v>
          </cell>
        </row>
        <row r="6594">
          <cell r="A6594">
            <v>0</v>
          </cell>
          <cell r="K6594">
            <v>0</v>
          </cell>
        </row>
        <row r="6595">
          <cell r="A6595">
            <v>0</v>
          </cell>
          <cell r="K6595">
            <v>0</v>
          </cell>
        </row>
        <row r="6596">
          <cell r="A6596">
            <v>0</v>
          </cell>
          <cell r="K6596">
            <v>0</v>
          </cell>
        </row>
        <row r="6597">
          <cell r="A6597">
            <v>0</v>
          </cell>
          <cell r="K6597">
            <v>0</v>
          </cell>
        </row>
        <row r="6598">
          <cell r="A6598">
            <v>0</v>
          </cell>
          <cell r="K6598">
            <v>0</v>
          </cell>
        </row>
        <row r="6599">
          <cell r="A6599">
            <v>0</v>
          </cell>
          <cell r="K6599">
            <v>0</v>
          </cell>
        </row>
        <row r="6600">
          <cell r="A6600">
            <v>0</v>
          </cell>
          <cell r="K6600">
            <v>0</v>
          </cell>
        </row>
        <row r="6601">
          <cell r="A6601">
            <v>0</v>
          </cell>
          <cell r="K6601">
            <v>0</v>
          </cell>
        </row>
        <row r="6602">
          <cell r="A6602">
            <v>0</v>
          </cell>
          <cell r="K6602">
            <v>0</v>
          </cell>
        </row>
        <row r="6603">
          <cell r="A6603">
            <v>0</v>
          </cell>
          <cell r="K6603">
            <v>0</v>
          </cell>
        </row>
        <row r="6604">
          <cell r="A6604">
            <v>0</v>
          </cell>
          <cell r="K6604">
            <v>0</v>
          </cell>
        </row>
        <row r="6605">
          <cell r="A6605">
            <v>0</v>
          </cell>
          <cell r="K6605">
            <v>0</v>
          </cell>
        </row>
        <row r="6606">
          <cell r="A6606">
            <v>0</v>
          </cell>
          <cell r="K6606">
            <v>0</v>
          </cell>
        </row>
        <row r="6607">
          <cell r="A6607">
            <v>0</v>
          </cell>
          <cell r="K6607">
            <v>0</v>
          </cell>
        </row>
        <row r="6608">
          <cell r="A6608">
            <v>0</v>
          </cell>
          <cell r="K6608">
            <v>0</v>
          </cell>
        </row>
        <row r="6609">
          <cell r="A6609">
            <v>0</v>
          </cell>
          <cell r="K6609">
            <v>0</v>
          </cell>
        </row>
        <row r="6610">
          <cell r="A6610">
            <v>0</v>
          </cell>
          <cell r="K6610">
            <v>0</v>
          </cell>
        </row>
        <row r="6611">
          <cell r="A6611">
            <v>0</v>
          </cell>
          <cell r="K6611">
            <v>0</v>
          </cell>
        </row>
        <row r="6612">
          <cell r="A6612">
            <v>0</v>
          </cell>
          <cell r="K6612">
            <v>0</v>
          </cell>
        </row>
        <row r="6613">
          <cell r="A6613">
            <v>0</v>
          </cell>
          <cell r="K6613">
            <v>0</v>
          </cell>
        </row>
        <row r="6614">
          <cell r="A6614">
            <v>0</v>
          </cell>
          <cell r="K6614">
            <v>0</v>
          </cell>
        </row>
        <row r="6615">
          <cell r="A6615">
            <v>0</v>
          </cell>
          <cell r="K6615">
            <v>0</v>
          </cell>
        </row>
        <row r="6616">
          <cell r="A6616">
            <v>0</v>
          </cell>
          <cell r="K6616">
            <v>0</v>
          </cell>
        </row>
        <row r="6617">
          <cell r="A6617">
            <v>0</v>
          </cell>
          <cell r="K6617">
            <v>0</v>
          </cell>
        </row>
        <row r="6618">
          <cell r="A6618">
            <v>0</v>
          </cell>
          <cell r="K6618">
            <v>0</v>
          </cell>
        </row>
        <row r="6619">
          <cell r="A6619">
            <v>0</v>
          </cell>
          <cell r="K6619">
            <v>0</v>
          </cell>
        </row>
        <row r="6620">
          <cell r="A6620">
            <v>0</v>
          </cell>
          <cell r="K6620">
            <v>0</v>
          </cell>
        </row>
        <row r="6621">
          <cell r="A6621">
            <v>0</v>
          </cell>
          <cell r="K6621">
            <v>0</v>
          </cell>
        </row>
        <row r="6622">
          <cell r="A6622">
            <v>0</v>
          </cell>
          <cell r="K6622">
            <v>0</v>
          </cell>
        </row>
        <row r="6623">
          <cell r="A6623">
            <v>0</v>
          </cell>
          <cell r="K6623">
            <v>0</v>
          </cell>
        </row>
        <row r="6624">
          <cell r="A6624">
            <v>0</v>
          </cell>
          <cell r="K6624">
            <v>0</v>
          </cell>
        </row>
        <row r="6625">
          <cell r="A6625">
            <v>0</v>
          </cell>
          <cell r="K6625">
            <v>0</v>
          </cell>
        </row>
        <row r="6626">
          <cell r="A6626">
            <v>0</v>
          </cell>
          <cell r="K6626">
            <v>0</v>
          </cell>
        </row>
        <row r="6627">
          <cell r="A6627">
            <v>0</v>
          </cell>
          <cell r="K6627">
            <v>0</v>
          </cell>
        </row>
        <row r="6628">
          <cell r="A6628">
            <v>0</v>
          </cell>
          <cell r="K6628">
            <v>0</v>
          </cell>
        </row>
        <row r="6629">
          <cell r="A6629">
            <v>0</v>
          </cell>
          <cell r="K6629">
            <v>0</v>
          </cell>
        </row>
        <row r="6630">
          <cell r="A6630">
            <v>0</v>
          </cell>
          <cell r="K6630">
            <v>0</v>
          </cell>
        </row>
        <row r="6631">
          <cell r="A6631">
            <v>0</v>
          </cell>
          <cell r="K6631">
            <v>0</v>
          </cell>
        </row>
        <row r="6632">
          <cell r="A6632">
            <v>0</v>
          </cell>
          <cell r="K6632">
            <v>0</v>
          </cell>
        </row>
        <row r="6633">
          <cell r="A6633">
            <v>0</v>
          </cell>
          <cell r="K6633">
            <v>0</v>
          </cell>
        </row>
        <row r="6634">
          <cell r="A6634">
            <v>0</v>
          </cell>
          <cell r="K6634">
            <v>0</v>
          </cell>
        </row>
        <row r="6635">
          <cell r="A6635">
            <v>0</v>
          </cell>
          <cell r="K6635">
            <v>0</v>
          </cell>
        </row>
        <row r="6636">
          <cell r="A6636">
            <v>0</v>
          </cell>
          <cell r="K6636">
            <v>0</v>
          </cell>
        </row>
        <row r="6637">
          <cell r="A6637">
            <v>0</v>
          </cell>
          <cell r="K6637">
            <v>0</v>
          </cell>
        </row>
        <row r="6638">
          <cell r="A6638">
            <v>0</v>
          </cell>
          <cell r="K6638">
            <v>0</v>
          </cell>
        </row>
        <row r="6639">
          <cell r="A6639">
            <v>0</v>
          </cell>
          <cell r="K6639">
            <v>0</v>
          </cell>
        </row>
        <row r="6640">
          <cell r="A6640">
            <v>0</v>
          </cell>
          <cell r="K6640">
            <v>0</v>
          </cell>
        </row>
        <row r="6641">
          <cell r="A6641">
            <v>0</v>
          </cell>
          <cell r="K6641">
            <v>0</v>
          </cell>
        </row>
        <row r="6642">
          <cell r="A6642">
            <v>0</v>
          </cell>
          <cell r="K6642">
            <v>0</v>
          </cell>
        </row>
        <row r="6643">
          <cell r="A6643">
            <v>0</v>
          </cell>
          <cell r="K6643">
            <v>0</v>
          </cell>
        </row>
        <row r="6644">
          <cell r="A6644">
            <v>0</v>
          </cell>
          <cell r="K6644">
            <v>0</v>
          </cell>
        </row>
        <row r="6645">
          <cell r="A6645">
            <v>0</v>
          </cell>
          <cell r="K6645">
            <v>0</v>
          </cell>
        </row>
        <row r="6646">
          <cell r="A6646">
            <v>0</v>
          </cell>
          <cell r="K6646">
            <v>0</v>
          </cell>
        </row>
        <row r="6647">
          <cell r="A6647">
            <v>0</v>
          </cell>
          <cell r="K6647">
            <v>0</v>
          </cell>
        </row>
        <row r="6648">
          <cell r="A6648">
            <v>0</v>
          </cell>
          <cell r="K6648">
            <v>0</v>
          </cell>
        </row>
        <row r="6649">
          <cell r="A6649">
            <v>0</v>
          </cell>
          <cell r="K6649">
            <v>0</v>
          </cell>
        </row>
        <row r="6650">
          <cell r="A6650">
            <v>0</v>
          </cell>
          <cell r="K6650">
            <v>0</v>
          </cell>
        </row>
        <row r="6651">
          <cell r="A6651">
            <v>0</v>
          </cell>
          <cell r="K6651">
            <v>0</v>
          </cell>
        </row>
        <row r="6652">
          <cell r="A6652">
            <v>0</v>
          </cell>
          <cell r="K6652">
            <v>0</v>
          </cell>
        </row>
        <row r="6653">
          <cell r="A6653">
            <v>0</v>
          </cell>
          <cell r="K6653">
            <v>0</v>
          </cell>
        </row>
        <row r="6654">
          <cell r="A6654">
            <v>0</v>
          </cell>
          <cell r="K6654">
            <v>0</v>
          </cell>
        </row>
        <row r="6655">
          <cell r="A6655">
            <v>0</v>
          </cell>
          <cell r="K6655">
            <v>0</v>
          </cell>
        </row>
        <row r="6656">
          <cell r="A6656">
            <v>0</v>
          </cell>
          <cell r="K6656">
            <v>0</v>
          </cell>
        </row>
        <row r="6657">
          <cell r="A6657">
            <v>0</v>
          </cell>
          <cell r="K6657">
            <v>0</v>
          </cell>
        </row>
        <row r="6658">
          <cell r="A6658">
            <v>0</v>
          </cell>
          <cell r="K6658">
            <v>0</v>
          </cell>
        </row>
        <row r="6659">
          <cell r="A6659">
            <v>0</v>
          </cell>
          <cell r="K6659">
            <v>0</v>
          </cell>
        </row>
        <row r="6660">
          <cell r="A6660">
            <v>0</v>
          </cell>
          <cell r="K6660">
            <v>0</v>
          </cell>
        </row>
        <row r="6661">
          <cell r="A6661">
            <v>0</v>
          </cell>
          <cell r="K6661">
            <v>0</v>
          </cell>
        </row>
        <row r="6662">
          <cell r="A6662">
            <v>0</v>
          </cell>
          <cell r="K6662">
            <v>0</v>
          </cell>
        </row>
        <row r="6663">
          <cell r="A6663">
            <v>0</v>
          </cell>
          <cell r="K6663">
            <v>0</v>
          </cell>
        </row>
        <row r="6664">
          <cell r="A6664">
            <v>0</v>
          </cell>
          <cell r="K6664">
            <v>0</v>
          </cell>
        </row>
        <row r="6665">
          <cell r="A6665">
            <v>0</v>
          </cell>
          <cell r="K6665">
            <v>0</v>
          </cell>
        </row>
        <row r="6666">
          <cell r="A6666">
            <v>0</v>
          </cell>
          <cell r="K6666">
            <v>0</v>
          </cell>
        </row>
        <row r="6667">
          <cell r="A6667">
            <v>0</v>
          </cell>
          <cell r="K6667">
            <v>0</v>
          </cell>
        </row>
        <row r="6668">
          <cell r="A6668">
            <v>0</v>
          </cell>
          <cell r="K6668">
            <v>0</v>
          </cell>
        </row>
        <row r="6669">
          <cell r="A6669">
            <v>0</v>
          </cell>
          <cell r="K6669">
            <v>0</v>
          </cell>
        </row>
        <row r="6670">
          <cell r="A6670">
            <v>0</v>
          </cell>
          <cell r="K6670">
            <v>0</v>
          </cell>
        </row>
        <row r="6671">
          <cell r="A6671">
            <v>0</v>
          </cell>
          <cell r="K6671">
            <v>0</v>
          </cell>
        </row>
        <row r="6672">
          <cell r="A6672">
            <v>0</v>
          </cell>
          <cell r="K6672">
            <v>0</v>
          </cell>
        </row>
        <row r="6673">
          <cell r="A6673">
            <v>0</v>
          </cell>
          <cell r="K6673">
            <v>0</v>
          </cell>
        </row>
        <row r="6674">
          <cell r="A6674">
            <v>0</v>
          </cell>
          <cell r="K6674">
            <v>0</v>
          </cell>
        </row>
        <row r="6675">
          <cell r="A6675">
            <v>0</v>
          </cell>
          <cell r="K6675">
            <v>0</v>
          </cell>
        </row>
        <row r="6676">
          <cell r="A6676">
            <v>0</v>
          </cell>
          <cell r="K6676">
            <v>0</v>
          </cell>
        </row>
        <row r="6677">
          <cell r="A6677">
            <v>0</v>
          </cell>
          <cell r="K6677">
            <v>0</v>
          </cell>
        </row>
        <row r="6678">
          <cell r="A6678">
            <v>0</v>
          </cell>
          <cell r="K6678">
            <v>0</v>
          </cell>
        </row>
        <row r="6679">
          <cell r="A6679">
            <v>0</v>
          </cell>
          <cell r="K6679">
            <v>0</v>
          </cell>
        </row>
        <row r="6680">
          <cell r="A6680">
            <v>0</v>
          </cell>
          <cell r="K6680">
            <v>0</v>
          </cell>
        </row>
        <row r="6681">
          <cell r="A6681">
            <v>0</v>
          </cell>
          <cell r="K6681">
            <v>0</v>
          </cell>
        </row>
        <row r="6682">
          <cell r="A6682">
            <v>0</v>
          </cell>
          <cell r="K6682">
            <v>0</v>
          </cell>
        </row>
        <row r="6683">
          <cell r="A6683">
            <v>0</v>
          </cell>
          <cell r="K6683">
            <v>0</v>
          </cell>
        </row>
        <row r="6684">
          <cell r="A6684">
            <v>0</v>
          </cell>
          <cell r="K6684">
            <v>0</v>
          </cell>
        </row>
        <row r="6685">
          <cell r="A6685">
            <v>0</v>
          </cell>
          <cell r="K6685">
            <v>0</v>
          </cell>
        </row>
        <row r="6686">
          <cell r="A6686">
            <v>0</v>
          </cell>
          <cell r="K6686">
            <v>0</v>
          </cell>
        </row>
        <row r="6687">
          <cell r="A6687">
            <v>0</v>
          </cell>
          <cell r="K6687">
            <v>0</v>
          </cell>
        </row>
        <row r="6688">
          <cell r="A6688">
            <v>0</v>
          </cell>
          <cell r="K6688">
            <v>0</v>
          </cell>
        </row>
        <row r="6689">
          <cell r="A6689">
            <v>0</v>
          </cell>
          <cell r="K6689">
            <v>0</v>
          </cell>
        </row>
        <row r="6690">
          <cell r="A6690">
            <v>0</v>
          </cell>
          <cell r="K6690">
            <v>0</v>
          </cell>
        </row>
        <row r="6691">
          <cell r="A6691">
            <v>0</v>
          </cell>
          <cell r="K6691">
            <v>0</v>
          </cell>
        </row>
        <row r="6692">
          <cell r="A6692">
            <v>0</v>
          </cell>
          <cell r="K6692">
            <v>0</v>
          </cell>
        </row>
        <row r="6693">
          <cell r="A6693">
            <v>0</v>
          </cell>
          <cell r="K6693">
            <v>0</v>
          </cell>
        </row>
        <row r="6694">
          <cell r="A6694">
            <v>0</v>
          </cell>
          <cell r="K6694">
            <v>0</v>
          </cell>
        </row>
        <row r="6695">
          <cell r="A6695">
            <v>0</v>
          </cell>
          <cell r="K6695">
            <v>0</v>
          </cell>
        </row>
        <row r="6696">
          <cell r="A6696">
            <v>0</v>
          </cell>
          <cell r="K6696">
            <v>0</v>
          </cell>
        </row>
        <row r="6697">
          <cell r="A6697">
            <v>0</v>
          </cell>
          <cell r="K6697">
            <v>0</v>
          </cell>
        </row>
        <row r="6698">
          <cell r="A6698">
            <v>0</v>
          </cell>
          <cell r="K6698">
            <v>0</v>
          </cell>
        </row>
        <row r="6699">
          <cell r="A6699">
            <v>0</v>
          </cell>
          <cell r="K6699">
            <v>0</v>
          </cell>
        </row>
        <row r="6700">
          <cell r="A6700">
            <v>0</v>
          </cell>
          <cell r="K6700">
            <v>0</v>
          </cell>
        </row>
        <row r="6701">
          <cell r="A6701">
            <v>0</v>
          </cell>
          <cell r="K6701">
            <v>0</v>
          </cell>
        </row>
        <row r="6702">
          <cell r="A6702">
            <v>0</v>
          </cell>
          <cell r="K6702">
            <v>0</v>
          </cell>
        </row>
        <row r="6703">
          <cell r="A6703">
            <v>0</v>
          </cell>
          <cell r="K6703">
            <v>0</v>
          </cell>
        </row>
        <row r="6704">
          <cell r="A6704">
            <v>0</v>
          </cell>
          <cell r="K6704">
            <v>0</v>
          </cell>
        </row>
        <row r="6705">
          <cell r="A6705">
            <v>0</v>
          </cell>
          <cell r="K6705">
            <v>0</v>
          </cell>
        </row>
        <row r="6706">
          <cell r="A6706">
            <v>0</v>
          </cell>
          <cell r="K6706">
            <v>0</v>
          </cell>
        </row>
        <row r="6707">
          <cell r="A6707">
            <v>0</v>
          </cell>
          <cell r="K6707">
            <v>0</v>
          </cell>
        </row>
        <row r="6708">
          <cell r="A6708">
            <v>0</v>
          </cell>
          <cell r="K6708">
            <v>0</v>
          </cell>
        </row>
        <row r="6709">
          <cell r="A6709">
            <v>0</v>
          </cell>
          <cell r="K6709">
            <v>0</v>
          </cell>
        </row>
        <row r="6710">
          <cell r="A6710">
            <v>0</v>
          </cell>
          <cell r="K6710">
            <v>0</v>
          </cell>
        </row>
        <row r="6711">
          <cell r="A6711">
            <v>0</v>
          </cell>
          <cell r="K6711">
            <v>0</v>
          </cell>
        </row>
        <row r="6712">
          <cell r="A6712">
            <v>0</v>
          </cell>
          <cell r="K6712">
            <v>0</v>
          </cell>
        </row>
        <row r="6713">
          <cell r="A6713">
            <v>0</v>
          </cell>
          <cell r="K6713">
            <v>0</v>
          </cell>
        </row>
        <row r="6714">
          <cell r="A6714">
            <v>0</v>
          </cell>
          <cell r="K6714">
            <v>0</v>
          </cell>
        </row>
        <row r="6715">
          <cell r="A6715">
            <v>0</v>
          </cell>
          <cell r="K6715">
            <v>0</v>
          </cell>
        </row>
        <row r="6716">
          <cell r="A6716">
            <v>0</v>
          </cell>
          <cell r="K6716">
            <v>0</v>
          </cell>
        </row>
        <row r="6717">
          <cell r="A6717">
            <v>0</v>
          </cell>
          <cell r="K6717">
            <v>0</v>
          </cell>
        </row>
        <row r="6718">
          <cell r="A6718">
            <v>0</v>
          </cell>
          <cell r="K6718">
            <v>0</v>
          </cell>
        </row>
        <row r="6719">
          <cell r="A6719">
            <v>0</v>
          </cell>
          <cell r="K6719">
            <v>0</v>
          </cell>
        </row>
        <row r="6720">
          <cell r="A6720">
            <v>0</v>
          </cell>
          <cell r="K6720">
            <v>0</v>
          </cell>
        </row>
        <row r="6721">
          <cell r="A6721">
            <v>0</v>
          </cell>
          <cell r="K6721">
            <v>0</v>
          </cell>
        </row>
        <row r="6722">
          <cell r="A6722">
            <v>0</v>
          </cell>
          <cell r="K6722">
            <v>0</v>
          </cell>
        </row>
        <row r="6723">
          <cell r="A6723">
            <v>0</v>
          </cell>
          <cell r="K6723">
            <v>0</v>
          </cell>
        </row>
        <row r="6724">
          <cell r="A6724">
            <v>0</v>
          </cell>
          <cell r="K6724">
            <v>0</v>
          </cell>
        </row>
        <row r="6725">
          <cell r="A6725">
            <v>0</v>
          </cell>
          <cell r="K6725">
            <v>0</v>
          </cell>
        </row>
        <row r="6726">
          <cell r="A6726">
            <v>0</v>
          </cell>
          <cell r="K6726">
            <v>0</v>
          </cell>
        </row>
        <row r="6727">
          <cell r="A6727">
            <v>0</v>
          </cell>
          <cell r="K6727">
            <v>0</v>
          </cell>
        </row>
        <row r="6728">
          <cell r="A6728">
            <v>0</v>
          </cell>
          <cell r="K6728">
            <v>0</v>
          </cell>
        </row>
        <row r="6729">
          <cell r="A6729">
            <v>0</v>
          </cell>
          <cell r="K6729">
            <v>0</v>
          </cell>
        </row>
        <row r="6730">
          <cell r="A6730">
            <v>0</v>
          </cell>
          <cell r="K6730">
            <v>0</v>
          </cell>
        </row>
        <row r="6731">
          <cell r="A6731">
            <v>0</v>
          </cell>
          <cell r="K6731">
            <v>0</v>
          </cell>
        </row>
        <row r="6732">
          <cell r="A6732">
            <v>0</v>
          </cell>
          <cell r="K6732">
            <v>0</v>
          </cell>
        </row>
        <row r="6733">
          <cell r="A6733">
            <v>0</v>
          </cell>
          <cell r="K6733">
            <v>0</v>
          </cell>
        </row>
        <row r="6734">
          <cell r="A6734">
            <v>0</v>
          </cell>
          <cell r="K6734">
            <v>0</v>
          </cell>
        </row>
        <row r="6735">
          <cell r="A6735">
            <v>0</v>
          </cell>
          <cell r="K6735">
            <v>0</v>
          </cell>
        </row>
        <row r="6736">
          <cell r="A6736">
            <v>0</v>
          </cell>
          <cell r="K6736">
            <v>0</v>
          </cell>
        </row>
        <row r="6737">
          <cell r="A6737">
            <v>0</v>
          </cell>
          <cell r="K6737">
            <v>0</v>
          </cell>
        </row>
        <row r="6738">
          <cell r="A6738">
            <v>0</v>
          </cell>
          <cell r="K6738">
            <v>0</v>
          </cell>
        </row>
        <row r="6739">
          <cell r="A6739">
            <v>0</v>
          </cell>
          <cell r="K6739">
            <v>0</v>
          </cell>
        </row>
        <row r="6740">
          <cell r="A6740">
            <v>0</v>
          </cell>
          <cell r="K6740">
            <v>0</v>
          </cell>
        </row>
        <row r="6741">
          <cell r="A6741">
            <v>0</v>
          </cell>
          <cell r="K6741">
            <v>0</v>
          </cell>
        </row>
        <row r="6742">
          <cell r="A6742">
            <v>0</v>
          </cell>
          <cell r="K6742">
            <v>0</v>
          </cell>
        </row>
        <row r="6743">
          <cell r="A6743">
            <v>0</v>
          </cell>
          <cell r="K6743">
            <v>0</v>
          </cell>
        </row>
        <row r="6744">
          <cell r="A6744">
            <v>0</v>
          </cell>
          <cell r="K6744">
            <v>0</v>
          </cell>
        </row>
        <row r="6745">
          <cell r="A6745">
            <v>0</v>
          </cell>
          <cell r="K6745">
            <v>0</v>
          </cell>
        </row>
        <row r="6746">
          <cell r="A6746">
            <v>0</v>
          </cell>
          <cell r="K6746">
            <v>0</v>
          </cell>
        </row>
        <row r="6747">
          <cell r="A6747">
            <v>0</v>
          </cell>
          <cell r="K6747">
            <v>0</v>
          </cell>
        </row>
        <row r="6748">
          <cell r="A6748">
            <v>0</v>
          </cell>
          <cell r="K6748">
            <v>0</v>
          </cell>
        </row>
        <row r="6749">
          <cell r="A6749">
            <v>0</v>
          </cell>
          <cell r="K6749">
            <v>0</v>
          </cell>
        </row>
        <row r="6750">
          <cell r="A6750">
            <v>0</v>
          </cell>
          <cell r="K6750">
            <v>0</v>
          </cell>
        </row>
        <row r="6751">
          <cell r="A6751">
            <v>0</v>
          </cell>
          <cell r="K6751">
            <v>0</v>
          </cell>
        </row>
        <row r="6752">
          <cell r="A6752">
            <v>0</v>
          </cell>
          <cell r="K6752">
            <v>0</v>
          </cell>
        </row>
        <row r="6753">
          <cell r="A6753">
            <v>0</v>
          </cell>
          <cell r="K6753">
            <v>0</v>
          </cell>
        </row>
        <row r="6754">
          <cell r="A6754">
            <v>0</v>
          </cell>
          <cell r="K6754">
            <v>0</v>
          </cell>
        </row>
        <row r="6755">
          <cell r="A6755">
            <v>0</v>
          </cell>
          <cell r="K6755">
            <v>0</v>
          </cell>
        </row>
        <row r="6756">
          <cell r="A6756">
            <v>0</v>
          </cell>
          <cell r="K6756">
            <v>0</v>
          </cell>
        </row>
        <row r="6757">
          <cell r="A6757">
            <v>0</v>
          </cell>
          <cell r="K6757">
            <v>0</v>
          </cell>
        </row>
        <row r="6758">
          <cell r="A6758">
            <v>0</v>
          </cell>
          <cell r="K6758">
            <v>0</v>
          </cell>
        </row>
        <row r="6759">
          <cell r="A6759">
            <v>0</v>
          </cell>
          <cell r="K6759">
            <v>0</v>
          </cell>
        </row>
        <row r="6760">
          <cell r="A6760">
            <v>0</v>
          </cell>
          <cell r="K6760">
            <v>0</v>
          </cell>
        </row>
        <row r="6761">
          <cell r="A6761">
            <v>0</v>
          </cell>
          <cell r="K6761">
            <v>0</v>
          </cell>
        </row>
        <row r="6762">
          <cell r="A6762">
            <v>0</v>
          </cell>
          <cell r="K6762">
            <v>0</v>
          </cell>
        </row>
        <row r="6763">
          <cell r="A6763">
            <v>0</v>
          </cell>
          <cell r="K6763">
            <v>0</v>
          </cell>
        </row>
        <row r="6764">
          <cell r="A6764">
            <v>0</v>
          </cell>
          <cell r="K6764">
            <v>0</v>
          </cell>
        </row>
        <row r="6765">
          <cell r="A6765">
            <v>0</v>
          </cell>
          <cell r="K6765">
            <v>0</v>
          </cell>
        </row>
        <row r="6766">
          <cell r="A6766">
            <v>0</v>
          </cell>
          <cell r="K6766">
            <v>0</v>
          </cell>
        </row>
        <row r="6767">
          <cell r="A6767">
            <v>0</v>
          </cell>
          <cell r="K6767">
            <v>0</v>
          </cell>
        </row>
        <row r="6768">
          <cell r="A6768">
            <v>0</v>
          </cell>
          <cell r="K6768">
            <v>0</v>
          </cell>
        </row>
        <row r="6769">
          <cell r="A6769">
            <v>0</v>
          </cell>
          <cell r="K6769">
            <v>0</v>
          </cell>
        </row>
        <row r="6770">
          <cell r="A6770">
            <v>0</v>
          </cell>
          <cell r="K6770">
            <v>0</v>
          </cell>
        </row>
        <row r="6771">
          <cell r="A6771">
            <v>0</v>
          </cell>
          <cell r="K6771">
            <v>0</v>
          </cell>
        </row>
        <row r="6772">
          <cell r="A6772">
            <v>0</v>
          </cell>
          <cell r="K6772">
            <v>0</v>
          </cell>
        </row>
        <row r="6773">
          <cell r="A6773">
            <v>0</v>
          </cell>
          <cell r="K6773">
            <v>0</v>
          </cell>
        </row>
        <row r="6774">
          <cell r="A6774">
            <v>0</v>
          </cell>
          <cell r="K6774">
            <v>0</v>
          </cell>
        </row>
        <row r="6775">
          <cell r="A6775">
            <v>0</v>
          </cell>
          <cell r="K6775">
            <v>0</v>
          </cell>
        </row>
        <row r="6776">
          <cell r="A6776">
            <v>0</v>
          </cell>
          <cell r="K6776">
            <v>0</v>
          </cell>
        </row>
        <row r="6777">
          <cell r="A6777">
            <v>0</v>
          </cell>
          <cell r="K6777">
            <v>0</v>
          </cell>
        </row>
        <row r="6778">
          <cell r="A6778">
            <v>0</v>
          </cell>
          <cell r="K6778">
            <v>0</v>
          </cell>
        </row>
        <row r="6779">
          <cell r="A6779">
            <v>0</v>
          </cell>
          <cell r="K6779">
            <v>0</v>
          </cell>
        </row>
        <row r="6780">
          <cell r="A6780">
            <v>0</v>
          </cell>
          <cell r="K6780">
            <v>0</v>
          </cell>
        </row>
        <row r="6781">
          <cell r="A6781">
            <v>0</v>
          </cell>
          <cell r="K6781">
            <v>0</v>
          </cell>
        </row>
        <row r="6782">
          <cell r="A6782">
            <v>0</v>
          </cell>
          <cell r="K6782">
            <v>0</v>
          </cell>
        </row>
        <row r="6783">
          <cell r="A6783">
            <v>0</v>
          </cell>
          <cell r="K6783">
            <v>0</v>
          </cell>
        </row>
        <row r="6784">
          <cell r="A6784">
            <v>0</v>
          </cell>
          <cell r="K6784">
            <v>0</v>
          </cell>
        </row>
        <row r="6785">
          <cell r="A6785">
            <v>0</v>
          </cell>
          <cell r="K6785">
            <v>0</v>
          </cell>
        </row>
        <row r="6786">
          <cell r="A6786">
            <v>0</v>
          </cell>
          <cell r="K6786">
            <v>0</v>
          </cell>
        </row>
        <row r="6787">
          <cell r="A6787">
            <v>0</v>
          </cell>
          <cell r="K6787">
            <v>0</v>
          </cell>
        </row>
        <row r="6788">
          <cell r="A6788">
            <v>0</v>
          </cell>
          <cell r="K6788">
            <v>0</v>
          </cell>
        </row>
        <row r="6789">
          <cell r="A6789">
            <v>0</v>
          </cell>
          <cell r="K6789">
            <v>0</v>
          </cell>
        </row>
        <row r="6790">
          <cell r="A6790">
            <v>0</v>
          </cell>
          <cell r="K6790">
            <v>0</v>
          </cell>
        </row>
        <row r="6791">
          <cell r="A6791">
            <v>0</v>
          </cell>
          <cell r="K6791">
            <v>0</v>
          </cell>
        </row>
        <row r="6792">
          <cell r="A6792">
            <v>0</v>
          </cell>
          <cell r="K6792">
            <v>0</v>
          </cell>
        </row>
        <row r="6793">
          <cell r="A6793">
            <v>0</v>
          </cell>
          <cell r="K6793">
            <v>0</v>
          </cell>
        </row>
        <row r="6794">
          <cell r="A6794">
            <v>0</v>
          </cell>
          <cell r="K6794">
            <v>0</v>
          </cell>
        </row>
        <row r="6795">
          <cell r="A6795">
            <v>0</v>
          </cell>
          <cell r="K6795">
            <v>0</v>
          </cell>
        </row>
        <row r="6796">
          <cell r="A6796">
            <v>0</v>
          </cell>
          <cell r="K6796">
            <v>0</v>
          </cell>
        </row>
        <row r="6797">
          <cell r="A6797">
            <v>0</v>
          </cell>
          <cell r="K6797">
            <v>0</v>
          </cell>
        </row>
        <row r="6798">
          <cell r="A6798">
            <v>0</v>
          </cell>
          <cell r="K6798">
            <v>0</v>
          </cell>
        </row>
        <row r="6799">
          <cell r="A6799">
            <v>0</v>
          </cell>
          <cell r="K6799">
            <v>0</v>
          </cell>
        </row>
        <row r="6800">
          <cell r="A6800">
            <v>0</v>
          </cell>
          <cell r="K6800">
            <v>0</v>
          </cell>
        </row>
        <row r="6801">
          <cell r="A6801">
            <v>0</v>
          </cell>
          <cell r="K6801">
            <v>0</v>
          </cell>
        </row>
        <row r="6802">
          <cell r="A6802">
            <v>0</v>
          </cell>
          <cell r="K6802">
            <v>0</v>
          </cell>
        </row>
        <row r="6803">
          <cell r="A6803">
            <v>0</v>
          </cell>
          <cell r="K6803">
            <v>0</v>
          </cell>
        </row>
        <row r="6804">
          <cell r="A6804">
            <v>0</v>
          </cell>
          <cell r="K6804">
            <v>0</v>
          </cell>
        </row>
        <row r="6805">
          <cell r="A6805">
            <v>0</v>
          </cell>
          <cell r="K6805">
            <v>0</v>
          </cell>
        </row>
        <row r="6806">
          <cell r="A6806">
            <v>0</v>
          </cell>
          <cell r="K6806">
            <v>0</v>
          </cell>
        </row>
        <row r="6807">
          <cell r="A6807">
            <v>0</v>
          </cell>
          <cell r="K6807">
            <v>0</v>
          </cell>
        </row>
        <row r="6808">
          <cell r="A6808">
            <v>0</v>
          </cell>
          <cell r="K6808">
            <v>0</v>
          </cell>
        </row>
        <row r="6809">
          <cell r="A6809">
            <v>0</v>
          </cell>
          <cell r="K6809">
            <v>0</v>
          </cell>
        </row>
        <row r="6810">
          <cell r="A6810">
            <v>0</v>
          </cell>
          <cell r="K6810">
            <v>0</v>
          </cell>
        </row>
        <row r="6811">
          <cell r="A6811">
            <v>0</v>
          </cell>
          <cell r="K6811">
            <v>0</v>
          </cell>
        </row>
        <row r="6812">
          <cell r="A6812">
            <v>0</v>
          </cell>
          <cell r="K6812">
            <v>0</v>
          </cell>
        </row>
        <row r="6813">
          <cell r="A6813">
            <v>0</v>
          </cell>
          <cell r="K6813">
            <v>0</v>
          </cell>
        </row>
        <row r="6814">
          <cell r="A6814">
            <v>0</v>
          </cell>
          <cell r="K6814">
            <v>0</v>
          </cell>
        </row>
        <row r="6815">
          <cell r="A6815">
            <v>0</v>
          </cell>
          <cell r="K6815">
            <v>0</v>
          </cell>
        </row>
        <row r="6816">
          <cell r="A6816">
            <v>0</v>
          </cell>
          <cell r="K6816">
            <v>0</v>
          </cell>
        </row>
        <row r="6817">
          <cell r="A6817">
            <v>0</v>
          </cell>
          <cell r="K6817">
            <v>0</v>
          </cell>
        </row>
        <row r="6818">
          <cell r="A6818">
            <v>0</v>
          </cell>
          <cell r="K6818">
            <v>0</v>
          </cell>
        </row>
        <row r="6819">
          <cell r="A6819">
            <v>0</v>
          </cell>
          <cell r="K6819">
            <v>0</v>
          </cell>
        </row>
        <row r="6820">
          <cell r="A6820">
            <v>0</v>
          </cell>
          <cell r="K6820">
            <v>0</v>
          </cell>
        </row>
        <row r="6821">
          <cell r="A6821">
            <v>0</v>
          </cell>
          <cell r="K6821">
            <v>0</v>
          </cell>
        </row>
        <row r="6822">
          <cell r="A6822">
            <v>0</v>
          </cell>
          <cell r="K6822">
            <v>0</v>
          </cell>
        </row>
        <row r="6823">
          <cell r="A6823">
            <v>0</v>
          </cell>
          <cell r="K6823">
            <v>0</v>
          </cell>
        </row>
        <row r="6824">
          <cell r="A6824">
            <v>0</v>
          </cell>
          <cell r="K6824">
            <v>0</v>
          </cell>
        </row>
        <row r="6825">
          <cell r="A6825">
            <v>0</v>
          </cell>
          <cell r="K6825">
            <v>0</v>
          </cell>
        </row>
        <row r="6826">
          <cell r="A6826">
            <v>0</v>
          </cell>
          <cell r="K6826">
            <v>0</v>
          </cell>
        </row>
        <row r="6827">
          <cell r="A6827">
            <v>0</v>
          </cell>
          <cell r="K6827">
            <v>0</v>
          </cell>
        </row>
        <row r="6828">
          <cell r="A6828">
            <v>0</v>
          </cell>
          <cell r="K6828">
            <v>0</v>
          </cell>
        </row>
        <row r="6829">
          <cell r="A6829">
            <v>0</v>
          </cell>
          <cell r="K6829">
            <v>0</v>
          </cell>
        </row>
        <row r="6830">
          <cell r="A6830">
            <v>0</v>
          </cell>
          <cell r="K6830">
            <v>0</v>
          </cell>
        </row>
        <row r="6831">
          <cell r="A6831">
            <v>0</v>
          </cell>
          <cell r="K6831">
            <v>0</v>
          </cell>
        </row>
        <row r="6832">
          <cell r="A6832">
            <v>0</v>
          </cell>
          <cell r="K6832">
            <v>0</v>
          </cell>
        </row>
        <row r="6833">
          <cell r="A6833">
            <v>0</v>
          </cell>
          <cell r="K6833">
            <v>0</v>
          </cell>
        </row>
        <row r="6834">
          <cell r="A6834">
            <v>0</v>
          </cell>
          <cell r="K6834">
            <v>0</v>
          </cell>
        </row>
        <row r="6835">
          <cell r="A6835">
            <v>0</v>
          </cell>
          <cell r="K6835">
            <v>0</v>
          </cell>
        </row>
        <row r="6836">
          <cell r="A6836">
            <v>0</v>
          </cell>
          <cell r="K6836">
            <v>0</v>
          </cell>
        </row>
        <row r="6837">
          <cell r="A6837">
            <v>0</v>
          </cell>
          <cell r="K6837">
            <v>0</v>
          </cell>
        </row>
        <row r="6838">
          <cell r="A6838">
            <v>0</v>
          </cell>
          <cell r="K6838">
            <v>0</v>
          </cell>
        </row>
        <row r="6839">
          <cell r="A6839">
            <v>0</v>
          </cell>
          <cell r="K6839">
            <v>0</v>
          </cell>
        </row>
        <row r="6840">
          <cell r="A6840">
            <v>0</v>
          </cell>
          <cell r="K6840">
            <v>0</v>
          </cell>
        </row>
        <row r="6841">
          <cell r="A6841">
            <v>0</v>
          </cell>
          <cell r="K6841">
            <v>0</v>
          </cell>
        </row>
        <row r="6842">
          <cell r="A6842">
            <v>0</v>
          </cell>
          <cell r="K6842">
            <v>0</v>
          </cell>
        </row>
        <row r="6843">
          <cell r="A6843">
            <v>0</v>
          </cell>
          <cell r="K6843">
            <v>0</v>
          </cell>
        </row>
        <row r="6844">
          <cell r="A6844">
            <v>0</v>
          </cell>
          <cell r="K6844">
            <v>0</v>
          </cell>
        </row>
        <row r="6845">
          <cell r="A6845">
            <v>0</v>
          </cell>
          <cell r="K6845">
            <v>0</v>
          </cell>
        </row>
        <row r="6846">
          <cell r="A6846">
            <v>0</v>
          </cell>
          <cell r="K6846">
            <v>0</v>
          </cell>
        </row>
        <row r="6847">
          <cell r="A6847">
            <v>0</v>
          </cell>
          <cell r="K6847">
            <v>0</v>
          </cell>
        </row>
        <row r="6848">
          <cell r="A6848">
            <v>0</v>
          </cell>
          <cell r="K6848">
            <v>0</v>
          </cell>
        </row>
        <row r="6849">
          <cell r="A6849">
            <v>0</v>
          </cell>
          <cell r="K6849">
            <v>0</v>
          </cell>
        </row>
        <row r="6850">
          <cell r="A6850">
            <v>0</v>
          </cell>
          <cell r="K6850">
            <v>0</v>
          </cell>
        </row>
        <row r="6851">
          <cell r="A6851">
            <v>0</v>
          </cell>
          <cell r="K6851">
            <v>0</v>
          </cell>
        </row>
        <row r="6852">
          <cell r="A6852">
            <v>0</v>
          </cell>
          <cell r="K6852">
            <v>0</v>
          </cell>
        </row>
        <row r="6853">
          <cell r="A6853">
            <v>0</v>
          </cell>
          <cell r="K6853">
            <v>0</v>
          </cell>
        </row>
        <row r="6854">
          <cell r="A6854">
            <v>0</v>
          </cell>
          <cell r="K6854">
            <v>0</v>
          </cell>
        </row>
        <row r="6855">
          <cell r="A6855">
            <v>0</v>
          </cell>
          <cell r="K6855">
            <v>0</v>
          </cell>
        </row>
        <row r="6856">
          <cell r="A6856">
            <v>0</v>
          </cell>
          <cell r="K6856">
            <v>0</v>
          </cell>
        </row>
        <row r="6857">
          <cell r="A6857">
            <v>0</v>
          </cell>
          <cell r="K6857">
            <v>0</v>
          </cell>
        </row>
        <row r="6858">
          <cell r="A6858">
            <v>0</v>
          </cell>
          <cell r="K6858">
            <v>0</v>
          </cell>
        </row>
        <row r="6859">
          <cell r="A6859">
            <v>0</v>
          </cell>
          <cell r="K6859">
            <v>0</v>
          </cell>
        </row>
        <row r="6860">
          <cell r="A6860">
            <v>0</v>
          </cell>
          <cell r="K6860">
            <v>0</v>
          </cell>
        </row>
        <row r="6861">
          <cell r="A6861">
            <v>0</v>
          </cell>
          <cell r="K6861">
            <v>0</v>
          </cell>
        </row>
        <row r="6862">
          <cell r="A6862">
            <v>0</v>
          </cell>
          <cell r="K6862">
            <v>0</v>
          </cell>
        </row>
        <row r="6863">
          <cell r="A6863">
            <v>0</v>
          </cell>
          <cell r="K6863">
            <v>0</v>
          </cell>
        </row>
        <row r="6864">
          <cell r="A6864">
            <v>0</v>
          </cell>
          <cell r="K6864">
            <v>0</v>
          </cell>
        </row>
        <row r="6865">
          <cell r="A6865">
            <v>0</v>
          </cell>
          <cell r="K6865">
            <v>0</v>
          </cell>
        </row>
        <row r="6866">
          <cell r="A6866">
            <v>0</v>
          </cell>
          <cell r="K6866">
            <v>0</v>
          </cell>
        </row>
        <row r="6867">
          <cell r="A6867">
            <v>0</v>
          </cell>
          <cell r="K6867">
            <v>0</v>
          </cell>
        </row>
        <row r="6868">
          <cell r="A6868">
            <v>0</v>
          </cell>
          <cell r="K6868">
            <v>0</v>
          </cell>
        </row>
        <row r="6869">
          <cell r="A6869">
            <v>0</v>
          </cell>
          <cell r="K6869">
            <v>0</v>
          </cell>
        </row>
        <row r="6870">
          <cell r="A6870">
            <v>0</v>
          </cell>
          <cell r="K6870">
            <v>0</v>
          </cell>
        </row>
        <row r="6871">
          <cell r="A6871">
            <v>0</v>
          </cell>
          <cell r="K6871">
            <v>0</v>
          </cell>
        </row>
        <row r="6872">
          <cell r="A6872">
            <v>0</v>
          </cell>
          <cell r="K6872">
            <v>0</v>
          </cell>
        </row>
        <row r="6873">
          <cell r="A6873">
            <v>0</v>
          </cell>
          <cell r="K6873">
            <v>0</v>
          </cell>
        </row>
        <row r="6874">
          <cell r="A6874">
            <v>0</v>
          </cell>
          <cell r="K6874">
            <v>0</v>
          </cell>
        </row>
        <row r="6875">
          <cell r="A6875">
            <v>0</v>
          </cell>
          <cell r="K6875">
            <v>0</v>
          </cell>
        </row>
        <row r="6876">
          <cell r="A6876">
            <v>0</v>
          </cell>
          <cell r="K6876">
            <v>0</v>
          </cell>
        </row>
        <row r="6877">
          <cell r="A6877">
            <v>0</v>
          </cell>
          <cell r="K6877">
            <v>0</v>
          </cell>
        </row>
        <row r="6878">
          <cell r="A6878">
            <v>0</v>
          </cell>
          <cell r="K6878">
            <v>0</v>
          </cell>
        </row>
        <row r="6879">
          <cell r="A6879">
            <v>0</v>
          </cell>
          <cell r="K6879">
            <v>0</v>
          </cell>
        </row>
        <row r="6880">
          <cell r="A6880">
            <v>0</v>
          </cell>
          <cell r="K6880">
            <v>0</v>
          </cell>
        </row>
        <row r="6881">
          <cell r="A6881">
            <v>0</v>
          </cell>
          <cell r="K6881">
            <v>0</v>
          </cell>
        </row>
        <row r="6882">
          <cell r="A6882">
            <v>0</v>
          </cell>
          <cell r="K6882">
            <v>0</v>
          </cell>
        </row>
        <row r="6883">
          <cell r="A6883">
            <v>0</v>
          </cell>
          <cell r="K6883">
            <v>0</v>
          </cell>
        </row>
        <row r="6884">
          <cell r="A6884">
            <v>0</v>
          </cell>
          <cell r="K6884">
            <v>0</v>
          </cell>
        </row>
        <row r="6885">
          <cell r="A6885">
            <v>0</v>
          </cell>
          <cell r="K6885">
            <v>0</v>
          </cell>
        </row>
        <row r="6886">
          <cell r="A6886">
            <v>0</v>
          </cell>
          <cell r="K6886">
            <v>0</v>
          </cell>
        </row>
        <row r="6887">
          <cell r="A6887">
            <v>0</v>
          </cell>
          <cell r="K6887">
            <v>0</v>
          </cell>
        </row>
        <row r="6888">
          <cell r="A6888">
            <v>0</v>
          </cell>
          <cell r="K6888">
            <v>0</v>
          </cell>
        </row>
        <row r="6889">
          <cell r="A6889">
            <v>0</v>
          </cell>
          <cell r="K6889">
            <v>0</v>
          </cell>
        </row>
        <row r="6890">
          <cell r="A6890">
            <v>0</v>
          </cell>
          <cell r="K6890">
            <v>0</v>
          </cell>
        </row>
        <row r="6891">
          <cell r="A6891">
            <v>0</v>
          </cell>
          <cell r="K6891">
            <v>0</v>
          </cell>
        </row>
        <row r="6892">
          <cell r="A6892">
            <v>0</v>
          </cell>
          <cell r="K6892">
            <v>0</v>
          </cell>
        </row>
        <row r="6893">
          <cell r="A6893">
            <v>0</v>
          </cell>
          <cell r="K6893">
            <v>0</v>
          </cell>
        </row>
        <row r="6894">
          <cell r="A6894">
            <v>0</v>
          </cell>
          <cell r="K6894">
            <v>0</v>
          </cell>
        </row>
        <row r="6895">
          <cell r="A6895">
            <v>0</v>
          </cell>
          <cell r="K6895">
            <v>0</v>
          </cell>
        </row>
        <row r="6896">
          <cell r="A6896">
            <v>0</v>
          </cell>
          <cell r="K6896">
            <v>0</v>
          </cell>
        </row>
        <row r="6897">
          <cell r="A6897">
            <v>0</v>
          </cell>
          <cell r="K6897">
            <v>0</v>
          </cell>
        </row>
        <row r="6898">
          <cell r="A6898">
            <v>0</v>
          </cell>
          <cell r="K6898">
            <v>0</v>
          </cell>
        </row>
        <row r="6899">
          <cell r="A6899">
            <v>0</v>
          </cell>
          <cell r="K6899">
            <v>0</v>
          </cell>
        </row>
        <row r="6900">
          <cell r="A6900">
            <v>0</v>
          </cell>
          <cell r="K6900">
            <v>0</v>
          </cell>
        </row>
        <row r="6901">
          <cell r="A6901">
            <v>0</v>
          </cell>
          <cell r="K6901">
            <v>0</v>
          </cell>
        </row>
        <row r="6902">
          <cell r="A6902">
            <v>0</v>
          </cell>
          <cell r="K6902">
            <v>0</v>
          </cell>
        </row>
        <row r="6903">
          <cell r="A6903">
            <v>0</v>
          </cell>
          <cell r="K6903">
            <v>0</v>
          </cell>
        </row>
        <row r="6904">
          <cell r="A6904">
            <v>0</v>
          </cell>
          <cell r="K6904">
            <v>0</v>
          </cell>
        </row>
        <row r="6905">
          <cell r="A6905">
            <v>0</v>
          </cell>
          <cell r="K6905">
            <v>0</v>
          </cell>
        </row>
        <row r="6906">
          <cell r="A6906">
            <v>0</v>
          </cell>
          <cell r="K6906">
            <v>0</v>
          </cell>
        </row>
        <row r="6907">
          <cell r="A6907">
            <v>0</v>
          </cell>
          <cell r="K6907">
            <v>0</v>
          </cell>
        </row>
        <row r="6908">
          <cell r="A6908">
            <v>0</v>
          </cell>
          <cell r="K6908">
            <v>0</v>
          </cell>
        </row>
        <row r="6909">
          <cell r="A6909">
            <v>0</v>
          </cell>
          <cell r="K6909">
            <v>0</v>
          </cell>
        </row>
        <row r="6910">
          <cell r="A6910">
            <v>0</v>
          </cell>
          <cell r="K6910">
            <v>0</v>
          </cell>
        </row>
        <row r="6911">
          <cell r="A6911">
            <v>0</v>
          </cell>
          <cell r="K6911">
            <v>0</v>
          </cell>
        </row>
        <row r="6912">
          <cell r="A6912">
            <v>0</v>
          </cell>
          <cell r="K6912">
            <v>0</v>
          </cell>
        </row>
        <row r="6913">
          <cell r="A6913">
            <v>0</v>
          </cell>
          <cell r="K6913">
            <v>0</v>
          </cell>
        </row>
        <row r="6914">
          <cell r="A6914">
            <v>0</v>
          </cell>
          <cell r="K6914">
            <v>0</v>
          </cell>
        </row>
        <row r="6915">
          <cell r="A6915">
            <v>0</v>
          </cell>
          <cell r="K6915">
            <v>0</v>
          </cell>
        </row>
        <row r="6916">
          <cell r="A6916">
            <v>0</v>
          </cell>
          <cell r="K6916">
            <v>0</v>
          </cell>
        </row>
        <row r="6917">
          <cell r="A6917">
            <v>0</v>
          </cell>
          <cell r="K6917">
            <v>0</v>
          </cell>
        </row>
        <row r="6918">
          <cell r="A6918">
            <v>0</v>
          </cell>
          <cell r="K6918">
            <v>0</v>
          </cell>
        </row>
        <row r="6919">
          <cell r="A6919">
            <v>0</v>
          </cell>
          <cell r="K6919">
            <v>0</v>
          </cell>
        </row>
        <row r="6920">
          <cell r="A6920">
            <v>0</v>
          </cell>
          <cell r="K6920">
            <v>0</v>
          </cell>
        </row>
        <row r="6921">
          <cell r="A6921">
            <v>0</v>
          </cell>
          <cell r="K6921">
            <v>0</v>
          </cell>
        </row>
        <row r="6922">
          <cell r="A6922">
            <v>0</v>
          </cell>
          <cell r="K6922">
            <v>0</v>
          </cell>
        </row>
        <row r="6923">
          <cell r="A6923">
            <v>0</v>
          </cell>
          <cell r="K6923">
            <v>0</v>
          </cell>
        </row>
        <row r="6924">
          <cell r="A6924">
            <v>0</v>
          </cell>
          <cell r="K6924">
            <v>0</v>
          </cell>
        </row>
        <row r="6925">
          <cell r="A6925">
            <v>0</v>
          </cell>
          <cell r="K6925">
            <v>0</v>
          </cell>
        </row>
        <row r="6926">
          <cell r="A6926">
            <v>0</v>
          </cell>
          <cell r="K6926">
            <v>0</v>
          </cell>
        </row>
        <row r="6927">
          <cell r="A6927">
            <v>0</v>
          </cell>
          <cell r="K6927">
            <v>0</v>
          </cell>
        </row>
        <row r="6928">
          <cell r="A6928">
            <v>0</v>
          </cell>
          <cell r="K6928">
            <v>0</v>
          </cell>
        </row>
        <row r="6929">
          <cell r="A6929">
            <v>0</v>
          </cell>
          <cell r="K6929">
            <v>0</v>
          </cell>
        </row>
        <row r="6930">
          <cell r="A6930">
            <v>0</v>
          </cell>
          <cell r="K6930">
            <v>0</v>
          </cell>
        </row>
        <row r="6931">
          <cell r="A6931">
            <v>0</v>
          </cell>
          <cell r="K6931">
            <v>0</v>
          </cell>
        </row>
        <row r="6932">
          <cell r="A6932">
            <v>0</v>
          </cell>
          <cell r="K6932">
            <v>0</v>
          </cell>
        </row>
        <row r="6933">
          <cell r="A6933">
            <v>0</v>
          </cell>
          <cell r="K6933">
            <v>0</v>
          </cell>
        </row>
        <row r="6934">
          <cell r="A6934">
            <v>0</v>
          </cell>
          <cell r="K6934">
            <v>0</v>
          </cell>
        </row>
        <row r="6935">
          <cell r="A6935">
            <v>0</v>
          </cell>
          <cell r="K6935">
            <v>0</v>
          </cell>
        </row>
        <row r="6936">
          <cell r="A6936">
            <v>0</v>
          </cell>
          <cell r="K6936">
            <v>0</v>
          </cell>
        </row>
        <row r="6937">
          <cell r="A6937">
            <v>0</v>
          </cell>
          <cell r="K6937">
            <v>0</v>
          </cell>
        </row>
        <row r="6938">
          <cell r="A6938">
            <v>0</v>
          </cell>
          <cell r="K6938">
            <v>0</v>
          </cell>
        </row>
        <row r="6939">
          <cell r="A6939">
            <v>0</v>
          </cell>
          <cell r="K6939">
            <v>0</v>
          </cell>
        </row>
        <row r="6940">
          <cell r="A6940">
            <v>0</v>
          </cell>
          <cell r="K6940">
            <v>0</v>
          </cell>
        </row>
        <row r="6941">
          <cell r="A6941">
            <v>0</v>
          </cell>
          <cell r="K6941">
            <v>0</v>
          </cell>
        </row>
        <row r="6942">
          <cell r="A6942">
            <v>0</v>
          </cell>
          <cell r="K6942">
            <v>0</v>
          </cell>
        </row>
        <row r="6943">
          <cell r="A6943">
            <v>0</v>
          </cell>
          <cell r="K6943">
            <v>0</v>
          </cell>
        </row>
        <row r="6944">
          <cell r="A6944">
            <v>0</v>
          </cell>
          <cell r="K6944">
            <v>0</v>
          </cell>
        </row>
        <row r="6945">
          <cell r="A6945">
            <v>0</v>
          </cell>
          <cell r="K6945">
            <v>0</v>
          </cell>
        </row>
        <row r="6946">
          <cell r="A6946">
            <v>0</v>
          </cell>
          <cell r="K6946">
            <v>0</v>
          </cell>
        </row>
        <row r="6947">
          <cell r="A6947">
            <v>0</v>
          </cell>
          <cell r="K6947">
            <v>0</v>
          </cell>
        </row>
        <row r="6948">
          <cell r="A6948">
            <v>0</v>
          </cell>
          <cell r="K6948">
            <v>0</v>
          </cell>
        </row>
        <row r="6949">
          <cell r="A6949">
            <v>0</v>
          </cell>
          <cell r="K6949">
            <v>0</v>
          </cell>
        </row>
        <row r="6950">
          <cell r="A6950">
            <v>0</v>
          </cell>
          <cell r="K6950">
            <v>0</v>
          </cell>
        </row>
        <row r="6951">
          <cell r="A6951">
            <v>0</v>
          </cell>
          <cell r="K6951">
            <v>0</v>
          </cell>
        </row>
        <row r="6952">
          <cell r="A6952">
            <v>0</v>
          </cell>
          <cell r="K6952">
            <v>0</v>
          </cell>
        </row>
        <row r="6953">
          <cell r="A6953">
            <v>0</v>
          </cell>
          <cell r="K6953">
            <v>0</v>
          </cell>
        </row>
        <row r="6954">
          <cell r="A6954">
            <v>0</v>
          </cell>
          <cell r="K6954">
            <v>0</v>
          </cell>
        </row>
        <row r="6955">
          <cell r="A6955">
            <v>0</v>
          </cell>
          <cell r="K6955">
            <v>0</v>
          </cell>
        </row>
        <row r="6956">
          <cell r="A6956">
            <v>0</v>
          </cell>
          <cell r="K6956">
            <v>0</v>
          </cell>
        </row>
        <row r="6957">
          <cell r="A6957">
            <v>0</v>
          </cell>
          <cell r="K6957">
            <v>0</v>
          </cell>
        </row>
        <row r="6958">
          <cell r="A6958">
            <v>0</v>
          </cell>
          <cell r="K6958">
            <v>0</v>
          </cell>
        </row>
        <row r="6959">
          <cell r="A6959">
            <v>0</v>
          </cell>
          <cell r="K6959">
            <v>0</v>
          </cell>
        </row>
        <row r="6960">
          <cell r="A6960">
            <v>0</v>
          </cell>
          <cell r="K6960">
            <v>0</v>
          </cell>
        </row>
        <row r="6961">
          <cell r="A6961">
            <v>0</v>
          </cell>
          <cell r="K6961">
            <v>0</v>
          </cell>
        </row>
        <row r="6962">
          <cell r="A6962">
            <v>0</v>
          </cell>
          <cell r="K6962">
            <v>0</v>
          </cell>
        </row>
        <row r="6963">
          <cell r="A6963">
            <v>0</v>
          </cell>
          <cell r="K6963">
            <v>0</v>
          </cell>
        </row>
        <row r="6964">
          <cell r="A6964">
            <v>0</v>
          </cell>
          <cell r="K6964">
            <v>0</v>
          </cell>
        </row>
        <row r="6965">
          <cell r="A6965">
            <v>0</v>
          </cell>
          <cell r="K6965">
            <v>0</v>
          </cell>
        </row>
        <row r="6966">
          <cell r="A6966">
            <v>0</v>
          </cell>
          <cell r="K6966">
            <v>0</v>
          </cell>
        </row>
        <row r="6967">
          <cell r="A6967">
            <v>0</v>
          </cell>
          <cell r="K6967">
            <v>0</v>
          </cell>
        </row>
        <row r="6968">
          <cell r="A6968">
            <v>0</v>
          </cell>
          <cell r="K6968">
            <v>0</v>
          </cell>
        </row>
        <row r="6969">
          <cell r="A6969">
            <v>0</v>
          </cell>
          <cell r="K6969">
            <v>0</v>
          </cell>
        </row>
        <row r="6970">
          <cell r="A6970">
            <v>0</v>
          </cell>
          <cell r="K6970">
            <v>0</v>
          </cell>
        </row>
        <row r="6971">
          <cell r="A6971">
            <v>0</v>
          </cell>
          <cell r="K6971">
            <v>0</v>
          </cell>
        </row>
        <row r="6972">
          <cell r="A6972">
            <v>0</v>
          </cell>
          <cell r="K6972">
            <v>0</v>
          </cell>
        </row>
        <row r="6973">
          <cell r="A6973">
            <v>0</v>
          </cell>
          <cell r="K6973">
            <v>0</v>
          </cell>
        </row>
        <row r="6974">
          <cell r="A6974">
            <v>0</v>
          </cell>
          <cell r="K6974">
            <v>0</v>
          </cell>
        </row>
        <row r="6975">
          <cell r="A6975">
            <v>0</v>
          </cell>
          <cell r="K6975">
            <v>0</v>
          </cell>
        </row>
        <row r="6976">
          <cell r="A6976">
            <v>0</v>
          </cell>
          <cell r="K6976">
            <v>0</v>
          </cell>
        </row>
        <row r="6977">
          <cell r="A6977">
            <v>0</v>
          </cell>
          <cell r="K6977">
            <v>0</v>
          </cell>
        </row>
        <row r="6978">
          <cell r="A6978">
            <v>0</v>
          </cell>
          <cell r="K6978">
            <v>0</v>
          </cell>
        </row>
        <row r="6979">
          <cell r="A6979">
            <v>0</v>
          </cell>
          <cell r="K6979">
            <v>0</v>
          </cell>
        </row>
        <row r="6980">
          <cell r="A6980">
            <v>0</v>
          </cell>
          <cell r="K6980">
            <v>0</v>
          </cell>
        </row>
        <row r="6981">
          <cell r="A6981">
            <v>0</v>
          </cell>
          <cell r="K6981">
            <v>0</v>
          </cell>
        </row>
        <row r="6982">
          <cell r="A6982">
            <v>0</v>
          </cell>
          <cell r="K6982">
            <v>0</v>
          </cell>
        </row>
        <row r="6983">
          <cell r="A6983">
            <v>0</v>
          </cell>
          <cell r="K6983">
            <v>0</v>
          </cell>
        </row>
        <row r="6984">
          <cell r="A6984">
            <v>0</v>
          </cell>
          <cell r="K6984">
            <v>0</v>
          </cell>
        </row>
        <row r="6985">
          <cell r="A6985">
            <v>0</v>
          </cell>
          <cell r="K6985">
            <v>0</v>
          </cell>
        </row>
        <row r="6986">
          <cell r="A6986">
            <v>0</v>
          </cell>
          <cell r="K6986">
            <v>0</v>
          </cell>
        </row>
        <row r="6987">
          <cell r="A6987">
            <v>0</v>
          </cell>
          <cell r="K6987">
            <v>0</v>
          </cell>
        </row>
        <row r="6988">
          <cell r="A6988">
            <v>0</v>
          </cell>
          <cell r="K6988">
            <v>0</v>
          </cell>
        </row>
        <row r="6989">
          <cell r="A6989">
            <v>0</v>
          </cell>
          <cell r="K6989">
            <v>0</v>
          </cell>
        </row>
        <row r="6990">
          <cell r="A6990">
            <v>0</v>
          </cell>
          <cell r="K6990">
            <v>0</v>
          </cell>
        </row>
        <row r="6991">
          <cell r="A6991">
            <v>0</v>
          </cell>
          <cell r="K6991">
            <v>0</v>
          </cell>
        </row>
        <row r="6992">
          <cell r="A6992">
            <v>0</v>
          </cell>
          <cell r="K6992">
            <v>0</v>
          </cell>
        </row>
        <row r="6993">
          <cell r="A6993">
            <v>0</v>
          </cell>
          <cell r="K6993">
            <v>0</v>
          </cell>
        </row>
        <row r="6994">
          <cell r="A6994">
            <v>0</v>
          </cell>
          <cell r="K6994">
            <v>0</v>
          </cell>
        </row>
        <row r="6995">
          <cell r="A6995">
            <v>0</v>
          </cell>
          <cell r="K6995">
            <v>0</v>
          </cell>
        </row>
        <row r="6996">
          <cell r="A6996">
            <v>0</v>
          </cell>
          <cell r="K6996">
            <v>0</v>
          </cell>
        </row>
        <row r="6997">
          <cell r="A6997">
            <v>0</v>
          </cell>
          <cell r="K6997">
            <v>0</v>
          </cell>
        </row>
        <row r="6998">
          <cell r="A6998">
            <v>0</v>
          </cell>
          <cell r="K6998">
            <v>0</v>
          </cell>
        </row>
        <row r="6999">
          <cell r="A6999">
            <v>0</v>
          </cell>
          <cell r="K6999">
            <v>0</v>
          </cell>
        </row>
        <row r="7000">
          <cell r="A7000">
            <v>0</v>
          </cell>
          <cell r="K7000">
            <v>0</v>
          </cell>
        </row>
        <row r="7001">
          <cell r="A7001">
            <v>0</v>
          </cell>
          <cell r="K7001">
            <v>0</v>
          </cell>
        </row>
        <row r="7002">
          <cell r="A7002">
            <v>0</v>
          </cell>
          <cell r="K7002">
            <v>0</v>
          </cell>
        </row>
        <row r="7003">
          <cell r="A7003">
            <v>0</v>
          </cell>
          <cell r="K7003">
            <v>0</v>
          </cell>
        </row>
        <row r="7004">
          <cell r="A7004">
            <v>0</v>
          </cell>
          <cell r="K7004">
            <v>0</v>
          </cell>
        </row>
        <row r="7005">
          <cell r="A7005">
            <v>0</v>
          </cell>
          <cell r="K7005">
            <v>0</v>
          </cell>
        </row>
        <row r="7006">
          <cell r="A7006">
            <v>0</v>
          </cell>
          <cell r="K7006">
            <v>0</v>
          </cell>
        </row>
        <row r="7007">
          <cell r="A7007">
            <v>0</v>
          </cell>
          <cell r="K7007">
            <v>0</v>
          </cell>
        </row>
        <row r="7008">
          <cell r="A7008">
            <v>0</v>
          </cell>
          <cell r="K7008">
            <v>0</v>
          </cell>
        </row>
        <row r="7009">
          <cell r="A7009">
            <v>0</v>
          </cell>
          <cell r="K7009">
            <v>0</v>
          </cell>
        </row>
        <row r="7010">
          <cell r="A7010">
            <v>0</v>
          </cell>
          <cell r="K7010">
            <v>0</v>
          </cell>
        </row>
        <row r="7011">
          <cell r="A7011">
            <v>0</v>
          </cell>
          <cell r="K7011">
            <v>0</v>
          </cell>
        </row>
        <row r="7012">
          <cell r="A7012">
            <v>0</v>
          </cell>
          <cell r="K7012">
            <v>0</v>
          </cell>
        </row>
        <row r="7013">
          <cell r="A7013">
            <v>0</v>
          </cell>
          <cell r="K7013">
            <v>0</v>
          </cell>
        </row>
        <row r="7014">
          <cell r="A7014">
            <v>0</v>
          </cell>
          <cell r="K7014">
            <v>0</v>
          </cell>
        </row>
        <row r="7015">
          <cell r="A7015">
            <v>0</v>
          </cell>
          <cell r="K7015">
            <v>0</v>
          </cell>
        </row>
        <row r="7016">
          <cell r="A7016">
            <v>0</v>
          </cell>
          <cell r="K7016">
            <v>0</v>
          </cell>
        </row>
        <row r="7017">
          <cell r="A7017">
            <v>0</v>
          </cell>
          <cell r="K7017">
            <v>0</v>
          </cell>
        </row>
        <row r="7018">
          <cell r="A7018">
            <v>0</v>
          </cell>
          <cell r="K7018">
            <v>0</v>
          </cell>
        </row>
        <row r="7019">
          <cell r="A7019">
            <v>0</v>
          </cell>
          <cell r="K7019">
            <v>0</v>
          </cell>
        </row>
        <row r="7020">
          <cell r="A7020">
            <v>0</v>
          </cell>
          <cell r="K7020">
            <v>0</v>
          </cell>
        </row>
        <row r="7021">
          <cell r="A7021">
            <v>0</v>
          </cell>
          <cell r="K7021">
            <v>0</v>
          </cell>
        </row>
        <row r="7022">
          <cell r="A7022">
            <v>0</v>
          </cell>
          <cell r="K7022">
            <v>0</v>
          </cell>
        </row>
        <row r="7023">
          <cell r="A7023">
            <v>0</v>
          </cell>
          <cell r="K7023">
            <v>0</v>
          </cell>
        </row>
        <row r="7024">
          <cell r="A7024">
            <v>0</v>
          </cell>
          <cell r="K7024">
            <v>0</v>
          </cell>
        </row>
        <row r="7025">
          <cell r="A7025">
            <v>0</v>
          </cell>
          <cell r="K7025">
            <v>0</v>
          </cell>
        </row>
        <row r="7026">
          <cell r="A7026">
            <v>0</v>
          </cell>
          <cell r="K7026">
            <v>0</v>
          </cell>
        </row>
        <row r="7027">
          <cell r="A7027">
            <v>0</v>
          </cell>
          <cell r="K7027">
            <v>0</v>
          </cell>
        </row>
        <row r="7028">
          <cell r="A7028">
            <v>0</v>
          </cell>
          <cell r="K7028">
            <v>0</v>
          </cell>
        </row>
        <row r="7029">
          <cell r="A7029">
            <v>0</v>
          </cell>
          <cell r="K7029">
            <v>0</v>
          </cell>
        </row>
        <row r="7030">
          <cell r="A7030">
            <v>0</v>
          </cell>
          <cell r="K7030">
            <v>0</v>
          </cell>
        </row>
        <row r="7031">
          <cell r="A7031">
            <v>0</v>
          </cell>
          <cell r="K7031">
            <v>0</v>
          </cell>
        </row>
        <row r="7032">
          <cell r="A7032">
            <v>0</v>
          </cell>
          <cell r="K7032">
            <v>0</v>
          </cell>
        </row>
        <row r="7033">
          <cell r="A7033">
            <v>0</v>
          </cell>
          <cell r="K7033">
            <v>0</v>
          </cell>
        </row>
        <row r="7034">
          <cell r="A7034">
            <v>0</v>
          </cell>
          <cell r="K7034">
            <v>0</v>
          </cell>
        </row>
        <row r="7035">
          <cell r="A7035">
            <v>0</v>
          </cell>
          <cell r="K7035">
            <v>0</v>
          </cell>
        </row>
        <row r="7036">
          <cell r="A7036">
            <v>0</v>
          </cell>
          <cell r="K7036">
            <v>0</v>
          </cell>
        </row>
        <row r="7037">
          <cell r="A7037">
            <v>0</v>
          </cell>
          <cell r="K7037">
            <v>0</v>
          </cell>
        </row>
        <row r="7038">
          <cell r="A7038">
            <v>0</v>
          </cell>
          <cell r="K7038">
            <v>0</v>
          </cell>
        </row>
        <row r="7039">
          <cell r="A7039">
            <v>0</v>
          </cell>
          <cell r="K7039">
            <v>0</v>
          </cell>
        </row>
        <row r="7040">
          <cell r="A7040">
            <v>0</v>
          </cell>
          <cell r="K7040">
            <v>0</v>
          </cell>
        </row>
        <row r="7041">
          <cell r="A7041">
            <v>0</v>
          </cell>
          <cell r="K7041">
            <v>0</v>
          </cell>
        </row>
        <row r="7042">
          <cell r="A7042">
            <v>0</v>
          </cell>
          <cell r="K7042">
            <v>0</v>
          </cell>
        </row>
        <row r="7043">
          <cell r="A7043">
            <v>0</v>
          </cell>
          <cell r="K7043">
            <v>0</v>
          </cell>
        </row>
        <row r="7044">
          <cell r="A7044">
            <v>0</v>
          </cell>
          <cell r="K7044">
            <v>0</v>
          </cell>
        </row>
        <row r="7045">
          <cell r="A7045">
            <v>0</v>
          </cell>
          <cell r="K7045">
            <v>0</v>
          </cell>
        </row>
        <row r="7046">
          <cell r="A7046">
            <v>0</v>
          </cell>
          <cell r="K7046">
            <v>0</v>
          </cell>
        </row>
        <row r="7047">
          <cell r="A7047">
            <v>0</v>
          </cell>
          <cell r="K7047">
            <v>0</v>
          </cell>
        </row>
        <row r="7048">
          <cell r="A7048">
            <v>0</v>
          </cell>
          <cell r="K7048">
            <v>0</v>
          </cell>
        </row>
        <row r="7049">
          <cell r="A7049">
            <v>0</v>
          </cell>
          <cell r="K7049">
            <v>0</v>
          </cell>
        </row>
        <row r="7050">
          <cell r="A7050">
            <v>0</v>
          </cell>
          <cell r="K7050">
            <v>0</v>
          </cell>
        </row>
        <row r="7051">
          <cell r="A7051">
            <v>0</v>
          </cell>
          <cell r="K7051">
            <v>0</v>
          </cell>
        </row>
        <row r="7052">
          <cell r="A7052">
            <v>0</v>
          </cell>
          <cell r="K7052">
            <v>0</v>
          </cell>
        </row>
        <row r="7053">
          <cell r="A7053">
            <v>0</v>
          </cell>
          <cell r="K7053">
            <v>0</v>
          </cell>
        </row>
        <row r="7054">
          <cell r="A7054">
            <v>0</v>
          </cell>
          <cell r="K7054">
            <v>0</v>
          </cell>
        </row>
        <row r="7055">
          <cell r="A7055">
            <v>0</v>
          </cell>
          <cell r="K7055">
            <v>0</v>
          </cell>
        </row>
        <row r="7056">
          <cell r="A7056">
            <v>0</v>
          </cell>
          <cell r="K7056">
            <v>0</v>
          </cell>
        </row>
        <row r="7057">
          <cell r="A7057">
            <v>0</v>
          </cell>
          <cell r="K7057">
            <v>0</v>
          </cell>
        </row>
        <row r="7058">
          <cell r="A7058">
            <v>0</v>
          </cell>
          <cell r="K7058">
            <v>0</v>
          </cell>
        </row>
        <row r="7059">
          <cell r="A7059">
            <v>0</v>
          </cell>
          <cell r="K7059">
            <v>0</v>
          </cell>
        </row>
        <row r="7060">
          <cell r="A7060">
            <v>0</v>
          </cell>
          <cell r="K7060">
            <v>0</v>
          </cell>
        </row>
        <row r="7061">
          <cell r="A7061">
            <v>0</v>
          </cell>
          <cell r="K7061">
            <v>0</v>
          </cell>
        </row>
        <row r="7062">
          <cell r="A7062">
            <v>0</v>
          </cell>
          <cell r="K7062">
            <v>0</v>
          </cell>
        </row>
        <row r="7063">
          <cell r="A7063">
            <v>0</v>
          </cell>
          <cell r="K7063">
            <v>0</v>
          </cell>
        </row>
        <row r="7064">
          <cell r="A7064">
            <v>0</v>
          </cell>
          <cell r="K7064">
            <v>0</v>
          </cell>
        </row>
        <row r="7065">
          <cell r="A7065">
            <v>0</v>
          </cell>
          <cell r="K7065">
            <v>0</v>
          </cell>
        </row>
        <row r="7066">
          <cell r="A7066">
            <v>0</v>
          </cell>
          <cell r="K7066">
            <v>0</v>
          </cell>
        </row>
        <row r="7067">
          <cell r="A7067">
            <v>0</v>
          </cell>
          <cell r="K7067">
            <v>0</v>
          </cell>
        </row>
        <row r="7068">
          <cell r="A7068">
            <v>0</v>
          </cell>
          <cell r="K7068">
            <v>0</v>
          </cell>
        </row>
        <row r="7069">
          <cell r="A7069">
            <v>0</v>
          </cell>
          <cell r="K7069">
            <v>0</v>
          </cell>
        </row>
        <row r="7070">
          <cell r="A7070">
            <v>0</v>
          </cell>
          <cell r="K7070">
            <v>0</v>
          </cell>
        </row>
        <row r="7071">
          <cell r="A7071">
            <v>0</v>
          </cell>
          <cell r="K7071">
            <v>0</v>
          </cell>
        </row>
        <row r="7072">
          <cell r="A7072">
            <v>0</v>
          </cell>
          <cell r="K7072">
            <v>0</v>
          </cell>
        </row>
        <row r="7073">
          <cell r="A7073">
            <v>0</v>
          </cell>
          <cell r="K7073">
            <v>0</v>
          </cell>
        </row>
        <row r="7074">
          <cell r="A7074">
            <v>0</v>
          </cell>
          <cell r="K7074">
            <v>0</v>
          </cell>
        </row>
        <row r="7075">
          <cell r="A7075">
            <v>0</v>
          </cell>
          <cell r="K7075">
            <v>0</v>
          </cell>
        </row>
        <row r="7076">
          <cell r="A7076">
            <v>0</v>
          </cell>
          <cell r="K7076">
            <v>0</v>
          </cell>
        </row>
        <row r="7077">
          <cell r="A7077">
            <v>0</v>
          </cell>
          <cell r="K7077">
            <v>0</v>
          </cell>
        </row>
        <row r="7078">
          <cell r="A7078">
            <v>0</v>
          </cell>
          <cell r="K7078">
            <v>0</v>
          </cell>
        </row>
        <row r="7079">
          <cell r="A7079">
            <v>0</v>
          </cell>
          <cell r="K7079">
            <v>0</v>
          </cell>
        </row>
        <row r="7080">
          <cell r="A7080">
            <v>0</v>
          </cell>
          <cell r="K7080">
            <v>0</v>
          </cell>
        </row>
        <row r="7081">
          <cell r="A7081">
            <v>0</v>
          </cell>
          <cell r="K7081">
            <v>0</v>
          </cell>
        </row>
        <row r="7082">
          <cell r="A7082">
            <v>0</v>
          </cell>
          <cell r="K7082">
            <v>0</v>
          </cell>
        </row>
        <row r="7083">
          <cell r="A7083">
            <v>0</v>
          </cell>
          <cell r="K7083">
            <v>0</v>
          </cell>
        </row>
        <row r="7084">
          <cell r="A7084">
            <v>0</v>
          </cell>
          <cell r="K7084">
            <v>0</v>
          </cell>
        </row>
        <row r="7085">
          <cell r="A7085">
            <v>0</v>
          </cell>
          <cell r="K7085">
            <v>0</v>
          </cell>
        </row>
        <row r="7086">
          <cell r="A7086">
            <v>0</v>
          </cell>
          <cell r="K7086">
            <v>0</v>
          </cell>
        </row>
        <row r="7087">
          <cell r="A7087">
            <v>0</v>
          </cell>
          <cell r="K7087">
            <v>0</v>
          </cell>
        </row>
        <row r="7088">
          <cell r="A7088">
            <v>0</v>
          </cell>
          <cell r="K7088">
            <v>0</v>
          </cell>
        </row>
        <row r="7089">
          <cell r="A7089">
            <v>0</v>
          </cell>
          <cell r="K7089">
            <v>0</v>
          </cell>
        </row>
        <row r="7090">
          <cell r="A7090">
            <v>0</v>
          </cell>
          <cell r="K7090">
            <v>0</v>
          </cell>
        </row>
        <row r="7091">
          <cell r="A7091">
            <v>0</v>
          </cell>
          <cell r="K7091">
            <v>0</v>
          </cell>
        </row>
        <row r="7092">
          <cell r="A7092">
            <v>0</v>
          </cell>
          <cell r="K7092">
            <v>0</v>
          </cell>
        </row>
        <row r="7093">
          <cell r="A7093">
            <v>0</v>
          </cell>
          <cell r="K7093">
            <v>0</v>
          </cell>
        </row>
        <row r="7094">
          <cell r="A7094">
            <v>0</v>
          </cell>
          <cell r="K7094">
            <v>0</v>
          </cell>
        </row>
        <row r="7095">
          <cell r="A7095">
            <v>0</v>
          </cell>
          <cell r="K7095">
            <v>0</v>
          </cell>
        </row>
        <row r="7096">
          <cell r="A7096">
            <v>0</v>
          </cell>
          <cell r="K7096">
            <v>0</v>
          </cell>
        </row>
        <row r="7097">
          <cell r="A7097">
            <v>0</v>
          </cell>
          <cell r="K7097">
            <v>0</v>
          </cell>
        </row>
        <row r="7098">
          <cell r="A7098">
            <v>0</v>
          </cell>
          <cell r="K7098">
            <v>0</v>
          </cell>
        </row>
        <row r="7099">
          <cell r="A7099">
            <v>0</v>
          </cell>
          <cell r="K7099">
            <v>0</v>
          </cell>
        </row>
        <row r="7100">
          <cell r="A7100">
            <v>0</v>
          </cell>
          <cell r="K7100">
            <v>0</v>
          </cell>
        </row>
        <row r="7101">
          <cell r="A7101">
            <v>0</v>
          </cell>
          <cell r="K7101">
            <v>0</v>
          </cell>
        </row>
        <row r="7102">
          <cell r="A7102">
            <v>0</v>
          </cell>
          <cell r="K7102">
            <v>0</v>
          </cell>
        </row>
        <row r="7103">
          <cell r="A7103">
            <v>0</v>
          </cell>
          <cell r="K7103">
            <v>0</v>
          </cell>
        </row>
        <row r="7104">
          <cell r="A7104">
            <v>0</v>
          </cell>
          <cell r="K7104">
            <v>0</v>
          </cell>
        </row>
        <row r="7105">
          <cell r="A7105">
            <v>0</v>
          </cell>
          <cell r="K7105">
            <v>0</v>
          </cell>
        </row>
        <row r="7106">
          <cell r="A7106">
            <v>0</v>
          </cell>
          <cell r="K7106">
            <v>0</v>
          </cell>
        </row>
        <row r="7107">
          <cell r="A7107">
            <v>0</v>
          </cell>
          <cell r="K7107">
            <v>0</v>
          </cell>
        </row>
        <row r="7108">
          <cell r="A7108">
            <v>0</v>
          </cell>
          <cell r="K7108">
            <v>0</v>
          </cell>
        </row>
        <row r="7109">
          <cell r="A7109">
            <v>0</v>
          </cell>
          <cell r="K7109">
            <v>0</v>
          </cell>
        </row>
        <row r="7110">
          <cell r="A7110">
            <v>0</v>
          </cell>
          <cell r="K7110">
            <v>0</v>
          </cell>
        </row>
        <row r="7111">
          <cell r="A7111">
            <v>0</v>
          </cell>
          <cell r="K7111">
            <v>0</v>
          </cell>
        </row>
        <row r="7112">
          <cell r="A7112">
            <v>0</v>
          </cell>
          <cell r="K7112">
            <v>0</v>
          </cell>
        </row>
        <row r="7113">
          <cell r="A7113">
            <v>0</v>
          </cell>
          <cell r="K7113">
            <v>0</v>
          </cell>
        </row>
        <row r="7114">
          <cell r="A7114">
            <v>0</v>
          </cell>
          <cell r="K7114">
            <v>0</v>
          </cell>
        </row>
        <row r="7115">
          <cell r="A7115">
            <v>0</v>
          </cell>
          <cell r="K7115">
            <v>0</v>
          </cell>
        </row>
        <row r="7116">
          <cell r="A7116">
            <v>0</v>
          </cell>
          <cell r="K7116">
            <v>0</v>
          </cell>
        </row>
        <row r="7117">
          <cell r="A7117">
            <v>0</v>
          </cell>
          <cell r="K7117">
            <v>0</v>
          </cell>
        </row>
        <row r="7118">
          <cell r="A7118">
            <v>0</v>
          </cell>
          <cell r="K7118">
            <v>0</v>
          </cell>
        </row>
        <row r="7119">
          <cell r="A7119">
            <v>0</v>
          </cell>
          <cell r="K7119">
            <v>0</v>
          </cell>
        </row>
        <row r="7120">
          <cell r="A7120">
            <v>0</v>
          </cell>
          <cell r="K7120">
            <v>0</v>
          </cell>
        </row>
        <row r="7121">
          <cell r="A7121">
            <v>0</v>
          </cell>
          <cell r="K7121">
            <v>0</v>
          </cell>
        </row>
        <row r="7122">
          <cell r="A7122">
            <v>0</v>
          </cell>
          <cell r="K7122">
            <v>0</v>
          </cell>
        </row>
        <row r="7123">
          <cell r="A7123">
            <v>0</v>
          </cell>
          <cell r="K7123">
            <v>0</v>
          </cell>
        </row>
        <row r="7124">
          <cell r="A7124">
            <v>0</v>
          </cell>
          <cell r="K7124">
            <v>0</v>
          </cell>
        </row>
        <row r="7125">
          <cell r="A7125">
            <v>0</v>
          </cell>
          <cell r="K7125">
            <v>0</v>
          </cell>
        </row>
        <row r="7126">
          <cell r="A7126">
            <v>0</v>
          </cell>
          <cell r="K7126">
            <v>0</v>
          </cell>
        </row>
        <row r="7127">
          <cell r="A7127">
            <v>0</v>
          </cell>
          <cell r="K7127">
            <v>0</v>
          </cell>
        </row>
        <row r="7128">
          <cell r="A7128">
            <v>0</v>
          </cell>
          <cell r="K7128">
            <v>0</v>
          </cell>
        </row>
        <row r="7129">
          <cell r="A7129">
            <v>0</v>
          </cell>
          <cell r="K7129">
            <v>0</v>
          </cell>
        </row>
        <row r="7130">
          <cell r="A7130">
            <v>0</v>
          </cell>
          <cell r="K7130">
            <v>0</v>
          </cell>
        </row>
        <row r="7131">
          <cell r="A7131">
            <v>0</v>
          </cell>
          <cell r="K7131">
            <v>0</v>
          </cell>
        </row>
        <row r="7132">
          <cell r="A7132">
            <v>0</v>
          </cell>
          <cell r="K7132">
            <v>0</v>
          </cell>
        </row>
        <row r="7133">
          <cell r="A7133">
            <v>0</v>
          </cell>
          <cell r="K7133">
            <v>0</v>
          </cell>
        </row>
        <row r="7134">
          <cell r="A7134">
            <v>0</v>
          </cell>
          <cell r="K7134">
            <v>0</v>
          </cell>
        </row>
        <row r="7135">
          <cell r="A7135">
            <v>0</v>
          </cell>
          <cell r="K7135">
            <v>0</v>
          </cell>
        </row>
        <row r="7136">
          <cell r="A7136">
            <v>0</v>
          </cell>
          <cell r="K7136">
            <v>0</v>
          </cell>
        </row>
        <row r="7137">
          <cell r="A7137">
            <v>0</v>
          </cell>
          <cell r="K7137">
            <v>0</v>
          </cell>
        </row>
        <row r="7138">
          <cell r="A7138">
            <v>0</v>
          </cell>
          <cell r="K7138">
            <v>0</v>
          </cell>
        </row>
        <row r="7139">
          <cell r="A7139">
            <v>0</v>
          </cell>
          <cell r="K7139">
            <v>0</v>
          </cell>
        </row>
        <row r="7140">
          <cell r="A7140">
            <v>0</v>
          </cell>
          <cell r="K7140">
            <v>0</v>
          </cell>
        </row>
        <row r="7141">
          <cell r="A7141">
            <v>0</v>
          </cell>
          <cell r="K7141">
            <v>0</v>
          </cell>
        </row>
        <row r="7142">
          <cell r="A7142">
            <v>0</v>
          </cell>
          <cell r="K7142">
            <v>0</v>
          </cell>
        </row>
        <row r="7143">
          <cell r="A7143">
            <v>0</v>
          </cell>
          <cell r="K7143">
            <v>0</v>
          </cell>
        </row>
        <row r="7144">
          <cell r="A7144">
            <v>0</v>
          </cell>
          <cell r="K7144">
            <v>0</v>
          </cell>
        </row>
        <row r="7145">
          <cell r="A7145">
            <v>0</v>
          </cell>
          <cell r="K7145">
            <v>0</v>
          </cell>
        </row>
        <row r="7146">
          <cell r="A7146">
            <v>0</v>
          </cell>
          <cell r="K7146">
            <v>0</v>
          </cell>
        </row>
        <row r="7147">
          <cell r="A7147">
            <v>0</v>
          </cell>
          <cell r="K7147">
            <v>0</v>
          </cell>
        </row>
        <row r="7148">
          <cell r="A7148">
            <v>0</v>
          </cell>
          <cell r="K7148">
            <v>0</v>
          </cell>
        </row>
        <row r="7149">
          <cell r="A7149">
            <v>0</v>
          </cell>
          <cell r="K7149">
            <v>0</v>
          </cell>
        </row>
        <row r="7150">
          <cell r="A7150">
            <v>0</v>
          </cell>
          <cell r="K7150">
            <v>0</v>
          </cell>
        </row>
        <row r="7151">
          <cell r="A7151">
            <v>0</v>
          </cell>
          <cell r="K7151">
            <v>0</v>
          </cell>
        </row>
        <row r="7152">
          <cell r="A7152">
            <v>0</v>
          </cell>
          <cell r="K7152">
            <v>0</v>
          </cell>
        </row>
        <row r="7153">
          <cell r="A7153">
            <v>0</v>
          </cell>
          <cell r="K7153">
            <v>0</v>
          </cell>
        </row>
        <row r="7154">
          <cell r="A7154">
            <v>0</v>
          </cell>
          <cell r="K7154">
            <v>0</v>
          </cell>
        </row>
        <row r="7155">
          <cell r="A7155">
            <v>0</v>
          </cell>
          <cell r="K7155">
            <v>0</v>
          </cell>
        </row>
        <row r="7156">
          <cell r="A7156">
            <v>0</v>
          </cell>
          <cell r="K7156">
            <v>0</v>
          </cell>
        </row>
        <row r="7157">
          <cell r="A7157">
            <v>0</v>
          </cell>
          <cell r="K7157">
            <v>0</v>
          </cell>
        </row>
        <row r="7158">
          <cell r="A7158">
            <v>0</v>
          </cell>
          <cell r="K7158">
            <v>0</v>
          </cell>
        </row>
        <row r="7159">
          <cell r="A7159">
            <v>0</v>
          </cell>
          <cell r="K7159">
            <v>0</v>
          </cell>
        </row>
        <row r="7160">
          <cell r="A7160">
            <v>0</v>
          </cell>
          <cell r="K7160">
            <v>0</v>
          </cell>
        </row>
        <row r="7161">
          <cell r="A7161">
            <v>0</v>
          </cell>
          <cell r="K7161">
            <v>0</v>
          </cell>
        </row>
        <row r="7162">
          <cell r="A7162">
            <v>0</v>
          </cell>
          <cell r="K7162">
            <v>0</v>
          </cell>
        </row>
        <row r="7163">
          <cell r="A7163">
            <v>0</v>
          </cell>
          <cell r="K7163">
            <v>0</v>
          </cell>
        </row>
        <row r="7164">
          <cell r="A7164">
            <v>0</v>
          </cell>
          <cell r="K7164">
            <v>0</v>
          </cell>
        </row>
        <row r="7165">
          <cell r="A7165">
            <v>0</v>
          </cell>
          <cell r="K7165">
            <v>0</v>
          </cell>
        </row>
        <row r="7166">
          <cell r="A7166">
            <v>0</v>
          </cell>
          <cell r="K7166">
            <v>0</v>
          </cell>
        </row>
        <row r="7167">
          <cell r="A7167">
            <v>0</v>
          </cell>
          <cell r="K7167">
            <v>0</v>
          </cell>
        </row>
        <row r="7168">
          <cell r="A7168">
            <v>0</v>
          </cell>
          <cell r="K7168">
            <v>0</v>
          </cell>
        </row>
        <row r="7169">
          <cell r="A7169">
            <v>0</v>
          </cell>
          <cell r="K7169">
            <v>0</v>
          </cell>
        </row>
        <row r="7170">
          <cell r="A7170">
            <v>0</v>
          </cell>
          <cell r="K7170">
            <v>0</v>
          </cell>
        </row>
        <row r="7171">
          <cell r="A7171">
            <v>0</v>
          </cell>
          <cell r="K7171">
            <v>0</v>
          </cell>
        </row>
        <row r="7172">
          <cell r="A7172">
            <v>0</v>
          </cell>
          <cell r="K7172">
            <v>0</v>
          </cell>
        </row>
        <row r="7173">
          <cell r="A7173">
            <v>0</v>
          </cell>
          <cell r="K7173">
            <v>0</v>
          </cell>
        </row>
        <row r="7174">
          <cell r="A7174">
            <v>0</v>
          </cell>
          <cell r="K7174">
            <v>0</v>
          </cell>
        </row>
        <row r="7175">
          <cell r="A7175">
            <v>0</v>
          </cell>
          <cell r="K7175">
            <v>0</v>
          </cell>
        </row>
        <row r="7176">
          <cell r="A7176">
            <v>0</v>
          </cell>
          <cell r="K7176">
            <v>0</v>
          </cell>
        </row>
        <row r="7177">
          <cell r="A7177">
            <v>0</v>
          </cell>
          <cell r="K7177">
            <v>0</v>
          </cell>
        </row>
        <row r="7178">
          <cell r="A7178">
            <v>0</v>
          </cell>
          <cell r="K7178">
            <v>0</v>
          </cell>
        </row>
        <row r="7179">
          <cell r="A7179">
            <v>0</v>
          </cell>
          <cell r="K7179">
            <v>0</v>
          </cell>
        </row>
        <row r="7180">
          <cell r="A7180">
            <v>0</v>
          </cell>
          <cell r="K7180">
            <v>0</v>
          </cell>
        </row>
        <row r="7181">
          <cell r="A7181">
            <v>0</v>
          </cell>
          <cell r="K7181">
            <v>0</v>
          </cell>
        </row>
        <row r="7182">
          <cell r="A7182">
            <v>0</v>
          </cell>
          <cell r="K7182">
            <v>0</v>
          </cell>
        </row>
        <row r="7183">
          <cell r="A7183">
            <v>0</v>
          </cell>
          <cell r="K7183">
            <v>0</v>
          </cell>
        </row>
        <row r="7184">
          <cell r="A7184">
            <v>0</v>
          </cell>
          <cell r="K7184">
            <v>0</v>
          </cell>
        </row>
        <row r="7185">
          <cell r="A7185">
            <v>0</v>
          </cell>
          <cell r="K7185">
            <v>0</v>
          </cell>
        </row>
        <row r="7186">
          <cell r="A7186">
            <v>0</v>
          </cell>
          <cell r="K7186">
            <v>0</v>
          </cell>
        </row>
        <row r="7187">
          <cell r="A7187">
            <v>0</v>
          </cell>
          <cell r="K7187">
            <v>0</v>
          </cell>
        </row>
        <row r="7188">
          <cell r="A7188">
            <v>0</v>
          </cell>
          <cell r="K7188">
            <v>0</v>
          </cell>
        </row>
        <row r="7189">
          <cell r="A7189">
            <v>0</v>
          </cell>
          <cell r="K7189">
            <v>0</v>
          </cell>
        </row>
        <row r="7190">
          <cell r="A7190">
            <v>0</v>
          </cell>
          <cell r="K7190">
            <v>0</v>
          </cell>
        </row>
        <row r="7191">
          <cell r="A7191">
            <v>0</v>
          </cell>
          <cell r="K7191">
            <v>0</v>
          </cell>
        </row>
        <row r="7192">
          <cell r="A7192">
            <v>0</v>
          </cell>
          <cell r="K7192">
            <v>0</v>
          </cell>
        </row>
        <row r="7193">
          <cell r="A7193">
            <v>0</v>
          </cell>
          <cell r="K7193">
            <v>0</v>
          </cell>
        </row>
        <row r="7194">
          <cell r="A7194">
            <v>0</v>
          </cell>
          <cell r="K7194">
            <v>0</v>
          </cell>
        </row>
        <row r="7195">
          <cell r="A7195">
            <v>0</v>
          </cell>
          <cell r="K7195">
            <v>0</v>
          </cell>
        </row>
        <row r="7196">
          <cell r="A7196">
            <v>0</v>
          </cell>
          <cell r="K7196">
            <v>0</v>
          </cell>
        </row>
        <row r="7197">
          <cell r="A7197">
            <v>0</v>
          </cell>
          <cell r="K7197">
            <v>0</v>
          </cell>
        </row>
        <row r="7198">
          <cell r="A7198">
            <v>0</v>
          </cell>
          <cell r="K7198">
            <v>0</v>
          </cell>
        </row>
        <row r="7199">
          <cell r="A7199">
            <v>0</v>
          </cell>
          <cell r="K7199">
            <v>0</v>
          </cell>
        </row>
        <row r="7200">
          <cell r="A7200">
            <v>0</v>
          </cell>
          <cell r="K7200">
            <v>0</v>
          </cell>
        </row>
        <row r="7201">
          <cell r="A7201">
            <v>0</v>
          </cell>
          <cell r="K7201">
            <v>0</v>
          </cell>
        </row>
        <row r="7202">
          <cell r="A7202">
            <v>0</v>
          </cell>
          <cell r="K7202">
            <v>0</v>
          </cell>
        </row>
        <row r="7203">
          <cell r="A7203">
            <v>0</v>
          </cell>
          <cell r="K7203">
            <v>0</v>
          </cell>
        </row>
        <row r="7204">
          <cell r="A7204">
            <v>0</v>
          </cell>
          <cell r="K7204">
            <v>0</v>
          </cell>
        </row>
        <row r="7205">
          <cell r="A7205">
            <v>0</v>
          </cell>
          <cell r="K7205">
            <v>0</v>
          </cell>
        </row>
        <row r="7206">
          <cell r="A7206">
            <v>0</v>
          </cell>
          <cell r="K7206">
            <v>0</v>
          </cell>
        </row>
        <row r="7207">
          <cell r="A7207">
            <v>0</v>
          </cell>
          <cell r="K7207">
            <v>0</v>
          </cell>
        </row>
        <row r="7208">
          <cell r="A7208">
            <v>0</v>
          </cell>
          <cell r="K7208">
            <v>0</v>
          </cell>
        </row>
        <row r="7209">
          <cell r="A7209">
            <v>0</v>
          </cell>
          <cell r="K7209">
            <v>0</v>
          </cell>
        </row>
        <row r="7210">
          <cell r="A7210">
            <v>0</v>
          </cell>
          <cell r="K7210">
            <v>0</v>
          </cell>
        </row>
        <row r="7211">
          <cell r="A7211">
            <v>0</v>
          </cell>
          <cell r="K7211">
            <v>0</v>
          </cell>
        </row>
        <row r="7212">
          <cell r="A7212">
            <v>0</v>
          </cell>
          <cell r="K7212">
            <v>0</v>
          </cell>
        </row>
        <row r="7213">
          <cell r="A7213">
            <v>0</v>
          </cell>
          <cell r="K7213">
            <v>0</v>
          </cell>
        </row>
        <row r="7214">
          <cell r="A7214">
            <v>0</v>
          </cell>
          <cell r="K7214">
            <v>0</v>
          </cell>
        </row>
        <row r="7215">
          <cell r="A7215">
            <v>0</v>
          </cell>
          <cell r="K7215">
            <v>0</v>
          </cell>
        </row>
        <row r="7216">
          <cell r="A7216">
            <v>0</v>
          </cell>
          <cell r="K7216">
            <v>0</v>
          </cell>
        </row>
        <row r="7217">
          <cell r="A7217">
            <v>0</v>
          </cell>
          <cell r="K7217">
            <v>0</v>
          </cell>
        </row>
        <row r="7218">
          <cell r="A7218">
            <v>0</v>
          </cell>
          <cell r="K7218">
            <v>0</v>
          </cell>
        </row>
        <row r="7219">
          <cell r="A7219">
            <v>0</v>
          </cell>
          <cell r="K7219">
            <v>0</v>
          </cell>
        </row>
        <row r="7220">
          <cell r="A7220">
            <v>0</v>
          </cell>
          <cell r="K7220">
            <v>0</v>
          </cell>
        </row>
        <row r="7221">
          <cell r="A7221">
            <v>0</v>
          </cell>
          <cell r="K7221">
            <v>0</v>
          </cell>
        </row>
        <row r="7222">
          <cell r="A7222">
            <v>0</v>
          </cell>
          <cell r="K7222">
            <v>0</v>
          </cell>
        </row>
        <row r="7223">
          <cell r="A7223">
            <v>0</v>
          </cell>
          <cell r="K7223">
            <v>0</v>
          </cell>
        </row>
        <row r="7224">
          <cell r="A7224">
            <v>0</v>
          </cell>
          <cell r="K7224">
            <v>0</v>
          </cell>
        </row>
        <row r="7225">
          <cell r="A7225">
            <v>0</v>
          </cell>
          <cell r="K7225">
            <v>0</v>
          </cell>
        </row>
        <row r="7226">
          <cell r="A7226">
            <v>0</v>
          </cell>
          <cell r="K7226">
            <v>0</v>
          </cell>
        </row>
        <row r="7227">
          <cell r="A7227">
            <v>0</v>
          </cell>
          <cell r="K7227">
            <v>0</v>
          </cell>
        </row>
        <row r="7228">
          <cell r="A7228">
            <v>0</v>
          </cell>
          <cell r="K7228">
            <v>0</v>
          </cell>
        </row>
        <row r="7229">
          <cell r="A7229">
            <v>0</v>
          </cell>
          <cell r="K7229">
            <v>0</v>
          </cell>
        </row>
        <row r="7230">
          <cell r="A7230">
            <v>0</v>
          </cell>
          <cell r="K7230">
            <v>0</v>
          </cell>
        </row>
        <row r="7231">
          <cell r="A7231">
            <v>0</v>
          </cell>
          <cell r="K7231">
            <v>0</v>
          </cell>
        </row>
        <row r="7232">
          <cell r="A7232">
            <v>0</v>
          </cell>
          <cell r="K7232">
            <v>0</v>
          </cell>
        </row>
        <row r="7233">
          <cell r="A7233">
            <v>0</v>
          </cell>
          <cell r="K7233">
            <v>0</v>
          </cell>
        </row>
        <row r="7234">
          <cell r="A7234">
            <v>0</v>
          </cell>
          <cell r="K7234">
            <v>0</v>
          </cell>
        </row>
        <row r="7235">
          <cell r="A7235">
            <v>0</v>
          </cell>
          <cell r="K7235">
            <v>0</v>
          </cell>
        </row>
        <row r="7236">
          <cell r="A7236">
            <v>0</v>
          </cell>
          <cell r="K7236">
            <v>0</v>
          </cell>
        </row>
        <row r="7237">
          <cell r="A7237">
            <v>0</v>
          </cell>
          <cell r="K7237">
            <v>0</v>
          </cell>
        </row>
        <row r="7238">
          <cell r="A7238">
            <v>0</v>
          </cell>
          <cell r="K7238">
            <v>0</v>
          </cell>
        </row>
        <row r="7239">
          <cell r="A7239">
            <v>0</v>
          </cell>
          <cell r="K7239">
            <v>0</v>
          </cell>
        </row>
        <row r="7240">
          <cell r="A7240">
            <v>0</v>
          </cell>
          <cell r="K7240">
            <v>0</v>
          </cell>
        </row>
        <row r="7241">
          <cell r="A7241">
            <v>0</v>
          </cell>
          <cell r="K7241">
            <v>0</v>
          </cell>
        </row>
        <row r="7242">
          <cell r="A7242">
            <v>0</v>
          </cell>
          <cell r="K7242">
            <v>0</v>
          </cell>
        </row>
        <row r="7243">
          <cell r="A7243">
            <v>0</v>
          </cell>
          <cell r="K7243">
            <v>0</v>
          </cell>
        </row>
        <row r="7244">
          <cell r="A7244">
            <v>0</v>
          </cell>
          <cell r="K7244">
            <v>0</v>
          </cell>
        </row>
        <row r="7245">
          <cell r="A7245">
            <v>0</v>
          </cell>
          <cell r="K7245">
            <v>0</v>
          </cell>
        </row>
        <row r="7246">
          <cell r="A7246">
            <v>0</v>
          </cell>
          <cell r="K7246">
            <v>0</v>
          </cell>
        </row>
        <row r="7247">
          <cell r="A7247">
            <v>0</v>
          </cell>
          <cell r="K7247">
            <v>0</v>
          </cell>
        </row>
        <row r="7248">
          <cell r="A7248">
            <v>0</v>
          </cell>
          <cell r="K7248">
            <v>0</v>
          </cell>
        </row>
        <row r="7249">
          <cell r="A7249">
            <v>0</v>
          </cell>
          <cell r="K7249">
            <v>0</v>
          </cell>
        </row>
        <row r="7250">
          <cell r="A7250">
            <v>0</v>
          </cell>
          <cell r="K7250">
            <v>0</v>
          </cell>
        </row>
        <row r="7251">
          <cell r="A7251">
            <v>0</v>
          </cell>
          <cell r="K7251">
            <v>0</v>
          </cell>
        </row>
        <row r="7252">
          <cell r="A7252">
            <v>0</v>
          </cell>
          <cell r="K7252">
            <v>0</v>
          </cell>
        </row>
        <row r="7253">
          <cell r="A7253">
            <v>0</v>
          </cell>
          <cell r="K7253">
            <v>0</v>
          </cell>
        </row>
        <row r="7254">
          <cell r="A7254">
            <v>0</v>
          </cell>
          <cell r="K7254">
            <v>0</v>
          </cell>
        </row>
        <row r="7255">
          <cell r="A7255">
            <v>0</v>
          </cell>
          <cell r="K7255">
            <v>0</v>
          </cell>
        </row>
        <row r="7256">
          <cell r="A7256">
            <v>0</v>
          </cell>
          <cell r="K7256">
            <v>0</v>
          </cell>
        </row>
        <row r="7257">
          <cell r="A7257">
            <v>0</v>
          </cell>
          <cell r="K7257">
            <v>0</v>
          </cell>
        </row>
        <row r="7258">
          <cell r="A7258">
            <v>0</v>
          </cell>
          <cell r="K7258">
            <v>0</v>
          </cell>
        </row>
        <row r="7259">
          <cell r="A7259">
            <v>0</v>
          </cell>
          <cell r="K7259">
            <v>0</v>
          </cell>
        </row>
        <row r="7260">
          <cell r="A7260">
            <v>0</v>
          </cell>
          <cell r="K7260">
            <v>0</v>
          </cell>
        </row>
        <row r="7261">
          <cell r="A7261">
            <v>0</v>
          </cell>
          <cell r="K7261">
            <v>0</v>
          </cell>
        </row>
        <row r="7262">
          <cell r="A7262">
            <v>0</v>
          </cell>
          <cell r="K7262">
            <v>0</v>
          </cell>
        </row>
        <row r="7263">
          <cell r="A7263">
            <v>0</v>
          </cell>
          <cell r="K7263">
            <v>0</v>
          </cell>
        </row>
        <row r="7264">
          <cell r="A7264">
            <v>0</v>
          </cell>
          <cell r="K7264">
            <v>0</v>
          </cell>
        </row>
        <row r="7265">
          <cell r="A7265">
            <v>0</v>
          </cell>
          <cell r="K7265">
            <v>0</v>
          </cell>
        </row>
        <row r="7266">
          <cell r="A7266">
            <v>0</v>
          </cell>
          <cell r="K7266">
            <v>0</v>
          </cell>
        </row>
        <row r="7267">
          <cell r="A7267">
            <v>0</v>
          </cell>
          <cell r="K7267">
            <v>0</v>
          </cell>
        </row>
        <row r="7268">
          <cell r="A7268">
            <v>0</v>
          </cell>
          <cell r="K7268">
            <v>0</v>
          </cell>
        </row>
        <row r="7269">
          <cell r="A7269">
            <v>0</v>
          </cell>
          <cell r="K7269">
            <v>0</v>
          </cell>
        </row>
        <row r="7270">
          <cell r="A7270">
            <v>0</v>
          </cell>
          <cell r="K7270">
            <v>0</v>
          </cell>
        </row>
        <row r="7271">
          <cell r="A7271">
            <v>0</v>
          </cell>
          <cell r="K7271">
            <v>0</v>
          </cell>
        </row>
        <row r="7272">
          <cell r="A7272">
            <v>0</v>
          </cell>
          <cell r="K7272">
            <v>0</v>
          </cell>
        </row>
        <row r="7273">
          <cell r="A7273">
            <v>0</v>
          </cell>
          <cell r="K7273">
            <v>0</v>
          </cell>
        </row>
        <row r="7274">
          <cell r="A7274">
            <v>0</v>
          </cell>
          <cell r="K7274">
            <v>0</v>
          </cell>
        </row>
        <row r="7275">
          <cell r="A7275">
            <v>0</v>
          </cell>
          <cell r="K7275">
            <v>0</v>
          </cell>
        </row>
        <row r="7276">
          <cell r="A7276">
            <v>0</v>
          </cell>
          <cell r="K7276">
            <v>0</v>
          </cell>
        </row>
        <row r="7277">
          <cell r="A7277">
            <v>0</v>
          </cell>
          <cell r="K7277">
            <v>0</v>
          </cell>
        </row>
        <row r="7278">
          <cell r="A7278">
            <v>0</v>
          </cell>
          <cell r="K7278">
            <v>0</v>
          </cell>
        </row>
        <row r="7279">
          <cell r="A7279">
            <v>0</v>
          </cell>
          <cell r="K7279">
            <v>0</v>
          </cell>
        </row>
        <row r="7280">
          <cell r="A7280">
            <v>0</v>
          </cell>
          <cell r="K7280">
            <v>0</v>
          </cell>
        </row>
        <row r="7281">
          <cell r="A7281">
            <v>0</v>
          </cell>
          <cell r="K7281">
            <v>0</v>
          </cell>
        </row>
        <row r="7282">
          <cell r="A7282">
            <v>0</v>
          </cell>
          <cell r="K7282">
            <v>0</v>
          </cell>
        </row>
        <row r="7283">
          <cell r="A7283">
            <v>0</v>
          </cell>
          <cell r="K7283">
            <v>0</v>
          </cell>
        </row>
        <row r="7284">
          <cell r="A7284">
            <v>0</v>
          </cell>
          <cell r="K7284">
            <v>0</v>
          </cell>
        </row>
        <row r="7285">
          <cell r="A7285">
            <v>0</v>
          </cell>
          <cell r="K7285">
            <v>0</v>
          </cell>
        </row>
        <row r="7286">
          <cell r="A7286">
            <v>0</v>
          </cell>
          <cell r="K7286">
            <v>0</v>
          </cell>
        </row>
        <row r="7287">
          <cell r="A7287">
            <v>0</v>
          </cell>
          <cell r="K7287">
            <v>0</v>
          </cell>
        </row>
        <row r="7288">
          <cell r="A7288">
            <v>0</v>
          </cell>
          <cell r="K7288">
            <v>0</v>
          </cell>
        </row>
        <row r="7289">
          <cell r="A7289">
            <v>0</v>
          </cell>
          <cell r="K7289">
            <v>0</v>
          </cell>
        </row>
        <row r="7290">
          <cell r="A7290">
            <v>0</v>
          </cell>
          <cell r="K7290">
            <v>0</v>
          </cell>
        </row>
        <row r="7291">
          <cell r="A7291">
            <v>0</v>
          </cell>
          <cell r="K7291">
            <v>0</v>
          </cell>
        </row>
        <row r="7292">
          <cell r="A7292">
            <v>0</v>
          </cell>
          <cell r="K7292">
            <v>0</v>
          </cell>
        </row>
        <row r="7293">
          <cell r="A7293">
            <v>0</v>
          </cell>
          <cell r="K7293">
            <v>0</v>
          </cell>
        </row>
        <row r="7294">
          <cell r="A7294">
            <v>0</v>
          </cell>
          <cell r="K7294">
            <v>0</v>
          </cell>
        </row>
        <row r="7295">
          <cell r="A7295">
            <v>0</v>
          </cell>
          <cell r="K7295">
            <v>0</v>
          </cell>
        </row>
        <row r="7296">
          <cell r="A7296">
            <v>0</v>
          </cell>
          <cell r="K7296">
            <v>0</v>
          </cell>
        </row>
        <row r="7297">
          <cell r="A7297">
            <v>0</v>
          </cell>
          <cell r="K7297">
            <v>0</v>
          </cell>
        </row>
        <row r="7298">
          <cell r="A7298">
            <v>0</v>
          </cell>
          <cell r="K7298">
            <v>0</v>
          </cell>
        </row>
        <row r="7299">
          <cell r="A7299">
            <v>0</v>
          </cell>
          <cell r="K7299">
            <v>0</v>
          </cell>
        </row>
        <row r="7300">
          <cell r="A7300">
            <v>0</v>
          </cell>
          <cell r="K7300">
            <v>0</v>
          </cell>
        </row>
        <row r="7301">
          <cell r="A7301">
            <v>0</v>
          </cell>
          <cell r="K7301">
            <v>0</v>
          </cell>
        </row>
        <row r="7302">
          <cell r="A7302">
            <v>0</v>
          </cell>
          <cell r="K7302">
            <v>0</v>
          </cell>
        </row>
        <row r="7303">
          <cell r="A7303">
            <v>0</v>
          </cell>
          <cell r="K7303">
            <v>0</v>
          </cell>
        </row>
        <row r="7304">
          <cell r="A7304">
            <v>0</v>
          </cell>
          <cell r="K7304">
            <v>0</v>
          </cell>
        </row>
        <row r="7305">
          <cell r="A7305">
            <v>0</v>
          </cell>
          <cell r="K7305">
            <v>0</v>
          </cell>
        </row>
        <row r="7306">
          <cell r="A7306">
            <v>0</v>
          </cell>
          <cell r="K7306">
            <v>0</v>
          </cell>
        </row>
        <row r="7307">
          <cell r="A7307">
            <v>0</v>
          </cell>
          <cell r="K7307">
            <v>0</v>
          </cell>
        </row>
        <row r="7308">
          <cell r="A7308">
            <v>0</v>
          </cell>
          <cell r="K7308">
            <v>0</v>
          </cell>
        </row>
        <row r="7309">
          <cell r="A7309">
            <v>0</v>
          </cell>
          <cell r="K7309">
            <v>0</v>
          </cell>
        </row>
        <row r="7310">
          <cell r="A7310">
            <v>0</v>
          </cell>
          <cell r="K7310">
            <v>0</v>
          </cell>
        </row>
        <row r="7311">
          <cell r="A7311">
            <v>0</v>
          </cell>
          <cell r="K7311">
            <v>0</v>
          </cell>
        </row>
        <row r="7312">
          <cell r="A7312">
            <v>0</v>
          </cell>
          <cell r="K7312">
            <v>0</v>
          </cell>
        </row>
        <row r="7313">
          <cell r="A7313">
            <v>0</v>
          </cell>
          <cell r="K7313">
            <v>0</v>
          </cell>
        </row>
        <row r="7314">
          <cell r="A7314">
            <v>0</v>
          </cell>
          <cell r="K7314">
            <v>0</v>
          </cell>
        </row>
        <row r="7315">
          <cell r="A7315">
            <v>0</v>
          </cell>
          <cell r="K7315">
            <v>0</v>
          </cell>
        </row>
        <row r="7316">
          <cell r="A7316">
            <v>0</v>
          </cell>
          <cell r="K7316">
            <v>0</v>
          </cell>
        </row>
        <row r="7317">
          <cell r="A7317">
            <v>0</v>
          </cell>
          <cell r="K7317">
            <v>0</v>
          </cell>
        </row>
        <row r="7318">
          <cell r="A7318">
            <v>0</v>
          </cell>
          <cell r="K7318">
            <v>0</v>
          </cell>
        </row>
        <row r="7319">
          <cell r="A7319">
            <v>0</v>
          </cell>
          <cell r="K7319">
            <v>0</v>
          </cell>
        </row>
        <row r="7320">
          <cell r="A7320">
            <v>0</v>
          </cell>
          <cell r="K7320">
            <v>0</v>
          </cell>
        </row>
        <row r="7321">
          <cell r="A7321">
            <v>0</v>
          </cell>
          <cell r="K7321">
            <v>0</v>
          </cell>
        </row>
        <row r="7322">
          <cell r="A7322">
            <v>0</v>
          </cell>
          <cell r="K7322">
            <v>0</v>
          </cell>
        </row>
        <row r="7323">
          <cell r="A7323">
            <v>0</v>
          </cell>
          <cell r="K7323">
            <v>0</v>
          </cell>
        </row>
        <row r="7324">
          <cell r="A7324">
            <v>0</v>
          </cell>
          <cell r="K7324">
            <v>0</v>
          </cell>
        </row>
        <row r="7325">
          <cell r="A7325">
            <v>0</v>
          </cell>
          <cell r="K7325">
            <v>0</v>
          </cell>
        </row>
        <row r="7326">
          <cell r="A7326">
            <v>0</v>
          </cell>
          <cell r="K7326">
            <v>0</v>
          </cell>
        </row>
        <row r="7327">
          <cell r="A7327">
            <v>0</v>
          </cell>
          <cell r="K7327">
            <v>0</v>
          </cell>
        </row>
        <row r="7328">
          <cell r="A7328">
            <v>0</v>
          </cell>
          <cell r="K7328">
            <v>0</v>
          </cell>
        </row>
        <row r="7329">
          <cell r="A7329">
            <v>0</v>
          </cell>
          <cell r="K7329">
            <v>0</v>
          </cell>
        </row>
        <row r="7330">
          <cell r="A7330">
            <v>0</v>
          </cell>
          <cell r="K7330">
            <v>0</v>
          </cell>
        </row>
        <row r="7331">
          <cell r="A7331">
            <v>0</v>
          </cell>
          <cell r="K7331">
            <v>0</v>
          </cell>
        </row>
        <row r="7332">
          <cell r="A7332">
            <v>0</v>
          </cell>
          <cell r="K7332">
            <v>0</v>
          </cell>
        </row>
        <row r="7333">
          <cell r="A7333">
            <v>0</v>
          </cell>
          <cell r="K7333">
            <v>0</v>
          </cell>
        </row>
        <row r="7334">
          <cell r="A7334">
            <v>0</v>
          </cell>
          <cell r="K7334">
            <v>0</v>
          </cell>
        </row>
        <row r="7335">
          <cell r="A7335">
            <v>0</v>
          </cell>
          <cell r="K7335">
            <v>0</v>
          </cell>
        </row>
        <row r="7336">
          <cell r="A7336">
            <v>0</v>
          </cell>
          <cell r="K7336">
            <v>0</v>
          </cell>
        </row>
        <row r="7337">
          <cell r="A7337">
            <v>0</v>
          </cell>
          <cell r="K7337">
            <v>0</v>
          </cell>
        </row>
        <row r="7338">
          <cell r="A7338">
            <v>0</v>
          </cell>
          <cell r="K7338">
            <v>0</v>
          </cell>
        </row>
        <row r="7339">
          <cell r="A7339">
            <v>0</v>
          </cell>
          <cell r="K7339">
            <v>0</v>
          </cell>
        </row>
        <row r="7340">
          <cell r="A7340">
            <v>0</v>
          </cell>
          <cell r="K7340">
            <v>0</v>
          </cell>
        </row>
        <row r="7341">
          <cell r="A7341">
            <v>0</v>
          </cell>
          <cell r="K7341">
            <v>0</v>
          </cell>
        </row>
        <row r="7342">
          <cell r="A7342">
            <v>0</v>
          </cell>
          <cell r="K7342">
            <v>0</v>
          </cell>
        </row>
        <row r="7343">
          <cell r="A7343">
            <v>0</v>
          </cell>
          <cell r="K7343">
            <v>0</v>
          </cell>
        </row>
        <row r="7344">
          <cell r="A7344">
            <v>0</v>
          </cell>
          <cell r="K7344">
            <v>0</v>
          </cell>
        </row>
        <row r="7345">
          <cell r="A7345">
            <v>0</v>
          </cell>
          <cell r="K7345">
            <v>0</v>
          </cell>
        </row>
        <row r="7346">
          <cell r="A7346">
            <v>0</v>
          </cell>
          <cell r="K7346">
            <v>0</v>
          </cell>
        </row>
        <row r="7347">
          <cell r="A7347">
            <v>0</v>
          </cell>
          <cell r="K7347">
            <v>0</v>
          </cell>
        </row>
        <row r="7348">
          <cell r="A7348">
            <v>0</v>
          </cell>
          <cell r="K7348">
            <v>0</v>
          </cell>
        </row>
        <row r="7349">
          <cell r="A7349">
            <v>0</v>
          </cell>
          <cell r="K7349">
            <v>0</v>
          </cell>
        </row>
        <row r="7350">
          <cell r="A7350">
            <v>0</v>
          </cell>
          <cell r="K7350">
            <v>0</v>
          </cell>
        </row>
        <row r="7351">
          <cell r="A7351">
            <v>0</v>
          </cell>
          <cell r="K7351">
            <v>0</v>
          </cell>
        </row>
        <row r="7352">
          <cell r="A7352">
            <v>0</v>
          </cell>
          <cell r="K7352">
            <v>0</v>
          </cell>
        </row>
        <row r="7353">
          <cell r="A7353">
            <v>0</v>
          </cell>
          <cell r="K7353">
            <v>0</v>
          </cell>
        </row>
        <row r="7354">
          <cell r="A7354">
            <v>0</v>
          </cell>
          <cell r="K7354">
            <v>0</v>
          </cell>
        </row>
        <row r="7355">
          <cell r="A7355">
            <v>0</v>
          </cell>
          <cell r="K7355">
            <v>0</v>
          </cell>
        </row>
        <row r="7356">
          <cell r="A7356">
            <v>0</v>
          </cell>
          <cell r="K7356">
            <v>0</v>
          </cell>
        </row>
        <row r="7357">
          <cell r="A7357">
            <v>0</v>
          </cell>
          <cell r="K7357">
            <v>0</v>
          </cell>
        </row>
        <row r="7358">
          <cell r="A7358">
            <v>0</v>
          </cell>
          <cell r="K7358">
            <v>0</v>
          </cell>
        </row>
        <row r="7359">
          <cell r="A7359">
            <v>0</v>
          </cell>
          <cell r="K7359">
            <v>0</v>
          </cell>
        </row>
        <row r="7360">
          <cell r="A7360">
            <v>0</v>
          </cell>
          <cell r="K7360">
            <v>0</v>
          </cell>
        </row>
        <row r="7361">
          <cell r="A7361">
            <v>0</v>
          </cell>
          <cell r="K7361">
            <v>0</v>
          </cell>
        </row>
        <row r="7362">
          <cell r="A7362">
            <v>0</v>
          </cell>
          <cell r="K7362">
            <v>0</v>
          </cell>
        </row>
        <row r="7363">
          <cell r="A7363">
            <v>0</v>
          </cell>
          <cell r="K7363">
            <v>0</v>
          </cell>
        </row>
        <row r="7364">
          <cell r="A7364">
            <v>0</v>
          </cell>
          <cell r="K7364">
            <v>0</v>
          </cell>
        </row>
        <row r="7365">
          <cell r="A7365">
            <v>0</v>
          </cell>
          <cell r="K7365">
            <v>0</v>
          </cell>
        </row>
        <row r="7366">
          <cell r="A7366">
            <v>0</v>
          </cell>
          <cell r="K7366">
            <v>0</v>
          </cell>
        </row>
        <row r="7367">
          <cell r="A7367">
            <v>0</v>
          </cell>
          <cell r="K7367">
            <v>0</v>
          </cell>
        </row>
        <row r="7368">
          <cell r="A7368">
            <v>0</v>
          </cell>
          <cell r="K7368">
            <v>0</v>
          </cell>
        </row>
        <row r="7369">
          <cell r="A7369">
            <v>0</v>
          </cell>
          <cell r="K7369">
            <v>0</v>
          </cell>
        </row>
        <row r="7370">
          <cell r="A7370">
            <v>0</v>
          </cell>
          <cell r="K7370">
            <v>0</v>
          </cell>
        </row>
        <row r="7371">
          <cell r="A7371">
            <v>0</v>
          </cell>
          <cell r="K7371">
            <v>0</v>
          </cell>
        </row>
        <row r="7372">
          <cell r="A7372">
            <v>0</v>
          </cell>
          <cell r="K7372">
            <v>0</v>
          </cell>
        </row>
        <row r="7373">
          <cell r="A7373">
            <v>0</v>
          </cell>
          <cell r="K7373">
            <v>0</v>
          </cell>
        </row>
        <row r="7374">
          <cell r="A7374">
            <v>0</v>
          </cell>
          <cell r="K7374">
            <v>0</v>
          </cell>
        </row>
        <row r="7375">
          <cell r="A7375">
            <v>0</v>
          </cell>
          <cell r="K7375">
            <v>0</v>
          </cell>
        </row>
        <row r="7376">
          <cell r="A7376">
            <v>0</v>
          </cell>
          <cell r="K7376">
            <v>0</v>
          </cell>
        </row>
        <row r="7377">
          <cell r="A7377">
            <v>0</v>
          </cell>
          <cell r="K7377">
            <v>0</v>
          </cell>
        </row>
        <row r="7378">
          <cell r="A7378">
            <v>0</v>
          </cell>
          <cell r="K7378">
            <v>0</v>
          </cell>
        </row>
        <row r="7379">
          <cell r="A7379">
            <v>0</v>
          </cell>
          <cell r="K7379">
            <v>0</v>
          </cell>
        </row>
        <row r="7380">
          <cell r="A7380">
            <v>0</v>
          </cell>
          <cell r="K7380">
            <v>0</v>
          </cell>
        </row>
        <row r="7381">
          <cell r="A7381">
            <v>0</v>
          </cell>
          <cell r="K7381">
            <v>0</v>
          </cell>
        </row>
        <row r="7382">
          <cell r="A7382">
            <v>0</v>
          </cell>
          <cell r="K7382">
            <v>0</v>
          </cell>
        </row>
        <row r="7383">
          <cell r="A7383">
            <v>0</v>
          </cell>
          <cell r="K7383">
            <v>0</v>
          </cell>
        </row>
        <row r="7384">
          <cell r="A7384">
            <v>0</v>
          </cell>
          <cell r="K7384">
            <v>0</v>
          </cell>
        </row>
        <row r="7385">
          <cell r="A7385">
            <v>0</v>
          </cell>
          <cell r="K7385">
            <v>0</v>
          </cell>
        </row>
        <row r="7386">
          <cell r="A7386">
            <v>0</v>
          </cell>
          <cell r="K7386">
            <v>0</v>
          </cell>
        </row>
        <row r="7387">
          <cell r="A7387">
            <v>0</v>
          </cell>
          <cell r="K7387">
            <v>0</v>
          </cell>
        </row>
        <row r="7388">
          <cell r="A7388">
            <v>0</v>
          </cell>
          <cell r="K7388">
            <v>0</v>
          </cell>
        </row>
        <row r="7389">
          <cell r="A7389">
            <v>0</v>
          </cell>
          <cell r="K7389">
            <v>0</v>
          </cell>
        </row>
        <row r="7390">
          <cell r="A7390">
            <v>0</v>
          </cell>
          <cell r="K7390">
            <v>0</v>
          </cell>
        </row>
        <row r="7391">
          <cell r="A7391">
            <v>0</v>
          </cell>
          <cell r="K7391">
            <v>0</v>
          </cell>
        </row>
        <row r="7392">
          <cell r="A7392">
            <v>0</v>
          </cell>
          <cell r="K7392">
            <v>0</v>
          </cell>
        </row>
        <row r="7393">
          <cell r="A7393">
            <v>0</v>
          </cell>
          <cell r="K7393">
            <v>0</v>
          </cell>
        </row>
        <row r="7394">
          <cell r="A7394">
            <v>0</v>
          </cell>
          <cell r="K7394">
            <v>0</v>
          </cell>
        </row>
        <row r="7395">
          <cell r="A7395">
            <v>0</v>
          </cell>
          <cell r="K7395">
            <v>0</v>
          </cell>
        </row>
        <row r="7396">
          <cell r="A7396">
            <v>0</v>
          </cell>
          <cell r="K7396">
            <v>0</v>
          </cell>
        </row>
        <row r="7397">
          <cell r="A7397">
            <v>0</v>
          </cell>
          <cell r="K7397">
            <v>0</v>
          </cell>
        </row>
        <row r="7398">
          <cell r="A7398">
            <v>0</v>
          </cell>
          <cell r="K7398">
            <v>0</v>
          </cell>
        </row>
        <row r="7399">
          <cell r="A7399">
            <v>0</v>
          </cell>
          <cell r="K7399">
            <v>0</v>
          </cell>
        </row>
        <row r="7400">
          <cell r="A7400">
            <v>0</v>
          </cell>
          <cell r="K7400">
            <v>0</v>
          </cell>
        </row>
        <row r="7401">
          <cell r="A7401">
            <v>0</v>
          </cell>
          <cell r="K7401">
            <v>0</v>
          </cell>
        </row>
        <row r="7402">
          <cell r="A7402">
            <v>0</v>
          </cell>
          <cell r="K7402">
            <v>0</v>
          </cell>
        </row>
        <row r="7403">
          <cell r="A7403">
            <v>0</v>
          </cell>
          <cell r="K7403">
            <v>0</v>
          </cell>
        </row>
        <row r="7404">
          <cell r="A7404">
            <v>0</v>
          </cell>
          <cell r="K7404">
            <v>0</v>
          </cell>
        </row>
        <row r="7405">
          <cell r="A7405">
            <v>0</v>
          </cell>
          <cell r="K7405">
            <v>0</v>
          </cell>
        </row>
        <row r="7406">
          <cell r="A7406">
            <v>0</v>
          </cell>
          <cell r="K7406">
            <v>0</v>
          </cell>
        </row>
        <row r="7407">
          <cell r="A7407">
            <v>0</v>
          </cell>
          <cell r="K7407">
            <v>0</v>
          </cell>
        </row>
        <row r="7408">
          <cell r="A7408">
            <v>0</v>
          </cell>
          <cell r="K7408">
            <v>0</v>
          </cell>
        </row>
        <row r="7409">
          <cell r="A7409">
            <v>0</v>
          </cell>
          <cell r="K7409">
            <v>0</v>
          </cell>
        </row>
        <row r="7410">
          <cell r="A7410">
            <v>0</v>
          </cell>
          <cell r="K7410">
            <v>0</v>
          </cell>
        </row>
        <row r="7411">
          <cell r="A7411">
            <v>0</v>
          </cell>
          <cell r="K7411">
            <v>0</v>
          </cell>
        </row>
        <row r="7412">
          <cell r="A7412">
            <v>0</v>
          </cell>
          <cell r="K7412">
            <v>0</v>
          </cell>
        </row>
        <row r="7413">
          <cell r="A7413">
            <v>0</v>
          </cell>
          <cell r="K7413">
            <v>0</v>
          </cell>
        </row>
        <row r="7414">
          <cell r="A7414">
            <v>0</v>
          </cell>
          <cell r="K7414">
            <v>0</v>
          </cell>
        </row>
        <row r="7415">
          <cell r="A7415">
            <v>0</v>
          </cell>
          <cell r="K7415">
            <v>0</v>
          </cell>
        </row>
        <row r="7416">
          <cell r="A7416">
            <v>0</v>
          </cell>
          <cell r="K7416">
            <v>0</v>
          </cell>
        </row>
        <row r="7417">
          <cell r="A7417">
            <v>0</v>
          </cell>
          <cell r="K7417">
            <v>0</v>
          </cell>
        </row>
        <row r="7418">
          <cell r="A7418">
            <v>0</v>
          </cell>
          <cell r="K7418">
            <v>0</v>
          </cell>
        </row>
        <row r="7419">
          <cell r="A7419">
            <v>0</v>
          </cell>
          <cell r="K7419">
            <v>0</v>
          </cell>
        </row>
        <row r="7420">
          <cell r="A7420">
            <v>0</v>
          </cell>
          <cell r="K7420">
            <v>0</v>
          </cell>
        </row>
        <row r="7421">
          <cell r="A7421">
            <v>0</v>
          </cell>
          <cell r="K7421">
            <v>0</v>
          </cell>
        </row>
        <row r="7422">
          <cell r="A7422">
            <v>0</v>
          </cell>
          <cell r="K7422">
            <v>0</v>
          </cell>
        </row>
        <row r="7423">
          <cell r="A7423">
            <v>0</v>
          </cell>
          <cell r="K7423">
            <v>0</v>
          </cell>
        </row>
        <row r="7424">
          <cell r="A7424">
            <v>0</v>
          </cell>
          <cell r="K7424">
            <v>0</v>
          </cell>
        </row>
        <row r="7425">
          <cell r="A7425">
            <v>0</v>
          </cell>
          <cell r="K7425">
            <v>0</v>
          </cell>
        </row>
        <row r="7426">
          <cell r="A7426">
            <v>0</v>
          </cell>
          <cell r="K7426">
            <v>0</v>
          </cell>
        </row>
        <row r="7427">
          <cell r="A7427">
            <v>0</v>
          </cell>
          <cell r="K7427">
            <v>0</v>
          </cell>
        </row>
        <row r="7428">
          <cell r="A7428">
            <v>0</v>
          </cell>
          <cell r="K7428">
            <v>0</v>
          </cell>
        </row>
        <row r="7429">
          <cell r="A7429">
            <v>0</v>
          </cell>
          <cell r="K7429">
            <v>0</v>
          </cell>
        </row>
        <row r="7430">
          <cell r="A7430">
            <v>0</v>
          </cell>
          <cell r="K7430">
            <v>0</v>
          </cell>
        </row>
        <row r="7431">
          <cell r="A7431">
            <v>0</v>
          </cell>
          <cell r="K7431">
            <v>0</v>
          </cell>
        </row>
        <row r="7432">
          <cell r="A7432">
            <v>0</v>
          </cell>
          <cell r="K7432">
            <v>0</v>
          </cell>
        </row>
        <row r="7433">
          <cell r="A7433">
            <v>0</v>
          </cell>
          <cell r="K7433">
            <v>0</v>
          </cell>
        </row>
        <row r="7434">
          <cell r="A7434">
            <v>0</v>
          </cell>
          <cell r="K7434">
            <v>0</v>
          </cell>
        </row>
        <row r="7435">
          <cell r="A7435">
            <v>0</v>
          </cell>
          <cell r="K7435">
            <v>0</v>
          </cell>
        </row>
        <row r="7436">
          <cell r="A7436">
            <v>0</v>
          </cell>
          <cell r="K7436">
            <v>0</v>
          </cell>
        </row>
        <row r="7437">
          <cell r="A7437">
            <v>0</v>
          </cell>
          <cell r="K7437">
            <v>0</v>
          </cell>
        </row>
        <row r="7438">
          <cell r="A7438">
            <v>0</v>
          </cell>
          <cell r="K7438">
            <v>0</v>
          </cell>
        </row>
        <row r="7439">
          <cell r="A7439">
            <v>0</v>
          </cell>
          <cell r="K7439">
            <v>0</v>
          </cell>
        </row>
        <row r="7440">
          <cell r="A7440">
            <v>0</v>
          </cell>
          <cell r="K7440">
            <v>0</v>
          </cell>
        </row>
        <row r="7441">
          <cell r="A7441">
            <v>0</v>
          </cell>
          <cell r="K7441">
            <v>0</v>
          </cell>
        </row>
        <row r="7442">
          <cell r="A7442">
            <v>0</v>
          </cell>
          <cell r="K7442">
            <v>0</v>
          </cell>
        </row>
        <row r="7443">
          <cell r="A7443">
            <v>0</v>
          </cell>
          <cell r="K7443">
            <v>0</v>
          </cell>
        </row>
        <row r="7444">
          <cell r="A7444">
            <v>0</v>
          </cell>
          <cell r="K7444">
            <v>0</v>
          </cell>
        </row>
        <row r="7445">
          <cell r="A7445">
            <v>0</v>
          </cell>
          <cell r="K7445">
            <v>0</v>
          </cell>
        </row>
        <row r="7446">
          <cell r="A7446">
            <v>0</v>
          </cell>
          <cell r="K7446">
            <v>0</v>
          </cell>
        </row>
        <row r="7447">
          <cell r="A7447">
            <v>0</v>
          </cell>
          <cell r="K7447">
            <v>0</v>
          </cell>
        </row>
        <row r="7448">
          <cell r="A7448">
            <v>0</v>
          </cell>
          <cell r="K7448">
            <v>0</v>
          </cell>
        </row>
        <row r="7449">
          <cell r="A7449">
            <v>0</v>
          </cell>
          <cell r="K7449">
            <v>0</v>
          </cell>
        </row>
        <row r="7450">
          <cell r="A7450">
            <v>0</v>
          </cell>
          <cell r="K7450">
            <v>0</v>
          </cell>
        </row>
        <row r="7451">
          <cell r="A7451">
            <v>0</v>
          </cell>
          <cell r="K7451">
            <v>0</v>
          </cell>
        </row>
        <row r="7452">
          <cell r="A7452">
            <v>0</v>
          </cell>
          <cell r="K7452">
            <v>0</v>
          </cell>
        </row>
        <row r="7453">
          <cell r="A7453">
            <v>0</v>
          </cell>
          <cell r="K7453">
            <v>0</v>
          </cell>
        </row>
        <row r="7454">
          <cell r="A7454">
            <v>0</v>
          </cell>
          <cell r="K7454">
            <v>0</v>
          </cell>
        </row>
        <row r="7455">
          <cell r="A7455">
            <v>0</v>
          </cell>
          <cell r="K7455">
            <v>0</v>
          </cell>
        </row>
        <row r="7456">
          <cell r="A7456">
            <v>0</v>
          </cell>
          <cell r="K7456">
            <v>0</v>
          </cell>
        </row>
        <row r="7457">
          <cell r="A7457">
            <v>0</v>
          </cell>
          <cell r="K7457">
            <v>0</v>
          </cell>
        </row>
        <row r="7458">
          <cell r="A7458">
            <v>0</v>
          </cell>
          <cell r="K7458">
            <v>0</v>
          </cell>
        </row>
        <row r="7459">
          <cell r="A7459">
            <v>0</v>
          </cell>
          <cell r="K7459">
            <v>0</v>
          </cell>
        </row>
        <row r="7460">
          <cell r="A7460">
            <v>0</v>
          </cell>
          <cell r="K7460">
            <v>0</v>
          </cell>
        </row>
        <row r="7461">
          <cell r="A7461">
            <v>0</v>
          </cell>
          <cell r="K7461">
            <v>0</v>
          </cell>
        </row>
        <row r="7462">
          <cell r="A7462">
            <v>0</v>
          </cell>
          <cell r="K7462">
            <v>0</v>
          </cell>
        </row>
        <row r="7463">
          <cell r="A7463">
            <v>0</v>
          </cell>
          <cell r="K7463">
            <v>0</v>
          </cell>
        </row>
        <row r="7464">
          <cell r="A7464">
            <v>0</v>
          </cell>
          <cell r="K7464">
            <v>0</v>
          </cell>
        </row>
        <row r="7465">
          <cell r="A7465">
            <v>0</v>
          </cell>
          <cell r="K7465">
            <v>0</v>
          </cell>
        </row>
        <row r="7466">
          <cell r="A7466">
            <v>0</v>
          </cell>
          <cell r="K7466">
            <v>0</v>
          </cell>
        </row>
        <row r="7467">
          <cell r="A7467">
            <v>0</v>
          </cell>
          <cell r="K7467">
            <v>0</v>
          </cell>
        </row>
        <row r="7468">
          <cell r="A7468">
            <v>0</v>
          </cell>
          <cell r="K7468">
            <v>0</v>
          </cell>
        </row>
        <row r="7469">
          <cell r="A7469">
            <v>0</v>
          </cell>
          <cell r="K7469">
            <v>0</v>
          </cell>
        </row>
        <row r="7470">
          <cell r="A7470">
            <v>0</v>
          </cell>
          <cell r="K7470">
            <v>0</v>
          </cell>
        </row>
        <row r="7471">
          <cell r="A7471">
            <v>0</v>
          </cell>
          <cell r="K7471">
            <v>0</v>
          </cell>
        </row>
        <row r="7472">
          <cell r="A7472">
            <v>0</v>
          </cell>
          <cell r="K7472">
            <v>0</v>
          </cell>
        </row>
        <row r="7473">
          <cell r="A7473">
            <v>0</v>
          </cell>
          <cell r="K7473">
            <v>0</v>
          </cell>
        </row>
        <row r="7474">
          <cell r="A7474">
            <v>0</v>
          </cell>
          <cell r="K7474">
            <v>0</v>
          </cell>
        </row>
        <row r="7475">
          <cell r="A7475">
            <v>0</v>
          </cell>
          <cell r="K7475">
            <v>0</v>
          </cell>
        </row>
        <row r="7476">
          <cell r="A7476">
            <v>0</v>
          </cell>
          <cell r="K7476">
            <v>0</v>
          </cell>
        </row>
        <row r="7477">
          <cell r="A7477">
            <v>0</v>
          </cell>
          <cell r="K7477">
            <v>0</v>
          </cell>
        </row>
        <row r="7478">
          <cell r="A7478">
            <v>0</v>
          </cell>
          <cell r="K7478">
            <v>0</v>
          </cell>
        </row>
        <row r="7479">
          <cell r="A7479">
            <v>0</v>
          </cell>
          <cell r="K7479">
            <v>0</v>
          </cell>
        </row>
        <row r="7480">
          <cell r="A7480">
            <v>0</v>
          </cell>
          <cell r="K7480">
            <v>0</v>
          </cell>
        </row>
        <row r="7481">
          <cell r="A7481">
            <v>0</v>
          </cell>
          <cell r="K7481">
            <v>0</v>
          </cell>
        </row>
        <row r="7482">
          <cell r="A7482">
            <v>0</v>
          </cell>
          <cell r="K7482">
            <v>0</v>
          </cell>
        </row>
        <row r="7483">
          <cell r="A7483">
            <v>0</v>
          </cell>
          <cell r="K7483">
            <v>0</v>
          </cell>
        </row>
        <row r="7484">
          <cell r="A7484">
            <v>0</v>
          </cell>
          <cell r="K7484">
            <v>0</v>
          </cell>
        </row>
        <row r="7485">
          <cell r="A7485">
            <v>0</v>
          </cell>
          <cell r="K7485">
            <v>0</v>
          </cell>
        </row>
        <row r="7486">
          <cell r="A7486">
            <v>0</v>
          </cell>
          <cell r="K7486">
            <v>0</v>
          </cell>
        </row>
        <row r="7487">
          <cell r="A7487">
            <v>0</v>
          </cell>
          <cell r="K7487">
            <v>0</v>
          </cell>
        </row>
        <row r="7488">
          <cell r="A7488">
            <v>0</v>
          </cell>
          <cell r="K7488">
            <v>0</v>
          </cell>
        </row>
        <row r="7489">
          <cell r="A7489">
            <v>0</v>
          </cell>
          <cell r="K7489">
            <v>0</v>
          </cell>
        </row>
        <row r="7490">
          <cell r="A7490">
            <v>0</v>
          </cell>
          <cell r="K7490">
            <v>0</v>
          </cell>
        </row>
        <row r="7491">
          <cell r="A7491">
            <v>0</v>
          </cell>
          <cell r="K7491">
            <v>0</v>
          </cell>
        </row>
        <row r="7492">
          <cell r="A7492">
            <v>0</v>
          </cell>
          <cell r="K7492">
            <v>0</v>
          </cell>
        </row>
        <row r="7493">
          <cell r="A7493">
            <v>0</v>
          </cell>
          <cell r="K7493">
            <v>0</v>
          </cell>
        </row>
        <row r="7494">
          <cell r="A7494">
            <v>0</v>
          </cell>
          <cell r="K7494">
            <v>0</v>
          </cell>
        </row>
        <row r="7495">
          <cell r="A7495">
            <v>0</v>
          </cell>
          <cell r="K7495">
            <v>0</v>
          </cell>
        </row>
        <row r="7496">
          <cell r="A7496">
            <v>0</v>
          </cell>
          <cell r="K7496">
            <v>0</v>
          </cell>
        </row>
        <row r="7497">
          <cell r="A7497">
            <v>0</v>
          </cell>
          <cell r="K7497">
            <v>0</v>
          </cell>
        </row>
        <row r="7498">
          <cell r="A7498">
            <v>0</v>
          </cell>
          <cell r="K7498">
            <v>0</v>
          </cell>
        </row>
        <row r="7499">
          <cell r="A7499">
            <v>0</v>
          </cell>
          <cell r="K7499">
            <v>0</v>
          </cell>
        </row>
        <row r="7500">
          <cell r="A7500">
            <v>0</v>
          </cell>
          <cell r="K7500">
            <v>0</v>
          </cell>
        </row>
        <row r="7501">
          <cell r="A7501">
            <v>0</v>
          </cell>
          <cell r="K7501">
            <v>0</v>
          </cell>
        </row>
        <row r="7502">
          <cell r="A7502">
            <v>0</v>
          </cell>
          <cell r="K7502">
            <v>0</v>
          </cell>
        </row>
        <row r="7503">
          <cell r="A7503">
            <v>0</v>
          </cell>
          <cell r="K7503">
            <v>0</v>
          </cell>
        </row>
        <row r="7504">
          <cell r="A7504">
            <v>0</v>
          </cell>
          <cell r="K7504">
            <v>0</v>
          </cell>
        </row>
        <row r="7505">
          <cell r="A7505">
            <v>0</v>
          </cell>
          <cell r="K7505">
            <v>0</v>
          </cell>
        </row>
        <row r="7506">
          <cell r="A7506">
            <v>0</v>
          </cell>
          <cell r="K7506">
            <v>0</v>
          </cell>
        </row>
        <row r="7507">
          <cell r="A7507">
            <v>0</v>
          </cell>
          <cell r="K7507">
            <v>0</v>
          </cell>
        </row>
        <row r="7508">
          <cell r="A7508">
            <v>0</v>
          </cell>
          <cell r="K7508">
            <v>0</v>
          </cell>
        </row>
        <row r="7509">
          <cell r="A7509">
            <v>0</v>
          </cell>
          <cell r="K7509">
            <v>0</v>
          </cell>
        </row>
        <row r="7510">
          <cell r="A7510">
            <v>0</v>
          </cell>
          <cell r="K7510">
            <v>0</v>
          </cell>
        </row>
        <row r="7511">
          <cell r="A7511">
            <v>0</v>
          </cell>
          <cell r="K7511">
            <v>0</v>
          </cell>
        </row>
        <row r="7512">
          <cell r="A7512">
            <v>0</v>
          </cell>
          <cell r="K7512">
            <v>0</v>
          </cell>
        </row>
        <row r="7513">
          <cell r="A7513">
            <v>0</v>
          </cell>
          <cell r="K7513">
            <v>0</v>
          </cell>
        </row>
        <row r="7514">
          <cell r="A7514">
            <v>0</v>
          </cell>
          <cell r="K7514">
            <v>0</v>
          </cell>
        </row>
        <row r="7515">
          <cell r="A7515">
            <v>0</v>
          </cell>
          <cell r="K7515">
            <v>0</v>
          </cell>
        </row>
        <row r="7516">
          <cell r="A7516">
            <v>0</v>
          </cell>
          <cell r="K7516">
            <v>0</v>
          </cell>
        </row>
        <row r="7517">
          <cell r="A7517">
            <v>0</v>
          </cell>
          <cell r="K7517">
            <v>0</v>
          </cell>
        </row>
        <row r="7518">
          <cell r="A7518">
            <v>0</v>
          </cell>
          <cell r="K7518">
            <v>0</v>
          </cell>
        </row>
        <row r="7519">
          <cell r="A7519">
            <v>0</v>
          </cell>
          <cell r="K7519">
            <v>0</v>
          </cell>
        </row>
        <row r="7520">
          <cell r="A7520">
            <v>0</v>
          </cell>
          <cell r="K7520">
            <v>0</v>
          </cell>
        </row>
        <row r="7521">
          <cell r="A7521">
            <v>0</v>
          </cell>
          <cell r="K7521">
            <v>0</v>
          </cell>
        </row>
        <row r="7522">
          <cell r="A7522">
            <v>0</v>
          </cell>
          <cell r="K7522">
            <v>0</v>
          </cell>
        </row>
        <row r="7523">
          <cell r="A7523">
            <v>0</v>
          </cell>
          <cell r="K7523">
            <v>0</v>
          </cell>
        </row>
        <row r="7524">
          <cell r="A7524">
            <v>0</v>
          </cell>
          <cell r="K7524">
            <v>0</v>
          </cell>
        </row>
        <row r="7525">
          <cell r="A7525">
            <v>0</v>
          </cell>
          <cell r="K7525">
            <v>0</v>
          </cell>
        </row>
        <row r="7526">
          <cell r="A7526">
            <v>0</v>
          </cell>
          <cell r="K7526">
            <v>0</v>
          </cell>
        </row>
        <row r="7527">
          <cell r="A7527">
            <v>0</v>
          </cell>
          <cell r="K7527">
            <v>0</v>
          </cell>
        </row>
        <row r="7528">
          <cell r="A7528">
            <v>0</v>
          </cell>
          <cell r="K7528">
            <v>0</v>
          </cell>
        </row>
        <row r="7529">
          <cell r="A7529">
            <v>0</v>
          </cell>
          <cell r="K7529">
            <v>0</v>
          </cell>
        </row>
        <row r="7530">
          <cell r="A7530">
            <v>0</v>
          </cell>
          <cell r="K7530">
            <v>0</v>
          </cell>
        </row>
        <row r="7531">
          <cell r="A7531">
            <v>0</v>
          </cell>
          <cell r="K7531">
            <v>0</v>
          </cell>
        </row>
        <row r="7532">
          <cell r="A7532">
            <v>0</v>
          </cell>
          <cell r="K7532">
            <v>0</v>
          </cell>
        </row>
        <row r="7533">
          <cell r="A7533">
            <v>0</v>
          </cell>
          <cell r="K7533">
            <v>0</v>
          </cell>
        </row>
        <row r="7534">
          <cell r="A7534">
            <v>0</v>
          </cell>
          <cell r="K7534">
            <v>0</v>
          </cell>
        </row>
        <row r="7535">
          <cell r="A7535">
            <v>0</v>
          </cell>
          <cell r="K7535">
            <v>0</v>
          </cell>
        </row>
        <row r="7536">
          <cell r="A7536">
            <v>0</v>
          </cell>
          <cell r="K7536">
            <v>0</v>
          </cell>
        </row>
        <row r="7537">
          <cell r="A7537">
            <v>0</v>
          </cell>
          <cell r="K7537">
            <v>0</v>
          </cell>
        </row>
        <row r="7538">
          <cell r="A7538">
            <v>0</v>
          </cell>
          <cell r="K7538">
            <v>0</v>
          </cell>
        </row>
        <row r="7539">
          <cell r="A7539">
            <v>0</v>
          </cell>
          <cell r="K7539">
            <v>0</v>
          </cell>
        </row>
        <row r="7540">
          <cell r="A7540">
            <v>0</v>
          </cell>
          <cell r="K7540">
            <v>0</v>
          </cell>
        </row>
        <row r="7541">
          <cell r="A7541">
            <v>0</v>
          </cell>
          <cell r="K7541">
            <v>0</v>
          </cell>
        </row>
        <row r="7542">
          <cell r="A7542">
            <v>0</v>
          </cell>
          <cell r="K7542">
            <v>0</v>
          </cell>
        </row>
        <row r="7543">
          <cell r="A7543">
            <v>0</v>
          </cell>
          <cell r="K7543">
            <v>0</v>
          </cell>
        </row>
        <row r="7544">
          <cell r="A7544">
            <v>0</v>
          </cell>
          <cell r="K7544">
            <v>0</v>
          </cell>
        </row>
        <row r="7545">
          <cell r="A7545">
            <v>0</v>
          </cell>
          <cell r="K7545">
            <v>0</v>
          </cell>
        </row>
        <row r="7546">
          <cell r="A7546">
            <v>0</v>
          </cell>
          <cell r="K7546">
            <v>0</v>
          </cell>
        </row>
        <row r="7547">
          <cell r="A7547">
            <v>0</v>
          </cell>
          <cell r="K7547">
            <v>0</v>
          </cell>
        </row>
        <row r="7548">
          <cell r="A7548">
            <v>0</v>
          </cell>
          <cell r="K7548">
            <v>0</v>
          </cell>
        </row>
        <row r="7549">
          <cell r="A7549">
            <v>0</v>
          </cell>
          <cell r="K7549">
            <v>0</v>
          </cell>
        </row>
        <row r="7550">
          <cell r="A7550">
            <v>0</v>
          </cell>
          <cell r="K7550">
            <v>0</v>
          </cell>
        </row>
        <row r="7551">
          <cell r="A7551">
            <v>0</v>
          </cell>
          <cell r="K7551">
            <v>0</v>
          </cell>
        </row>
        <row r="7552">
          <cell r="A7552">
            <v>0</v>
          </cell>
          <cell r="K7552">
            <v>0</v>
          </cell>
        </row>
        <row r="7553">
          <cell r="A7553">
            <v>0</v>
          </cell>
          <cell r="K7553">
            <v>0</v>
          </cell>
        </row>
        <row r="7554">
          <cell r="A7554">
            <v>0</v>
          </cell>
          <cell r="K7554">
            <v>0</v>
          </cell>
        </row>
        <row r="7555">
          <cell r="A7555">
            <v>0</v>
          </cell>
          <cell r="K7555">
            <v>0</v>
          </cell>
        </row>
        <row r="7556">
          <cell r="A7556">
            <v>0</v>
          </cell>
          <cell r="K7556">
            <v>0</v>
          </cell>
        </row>
        <row r="7557">
          <cell r="A7557">
            <v>0</v>
          </cell>
          <cell r="K7557">
            <v>0</v>
          </cell>
        </row>
        <row r="7558">
          <cell r="A7558">
            <v>0</v>
          </cell>
          <cell r="K7558">
            <v>0</v>
          </cell>
        </row>
        <row r="7559">
          <cell r="A7559">
            <v>0</v>
          </cell>
          <cell r="K7559">
            <v>0</v>
          </cell>
        </row>
        <row r="7560">
          <cell r="A7560">
            <v>0</v>
          </cell>
          <cell r="K7560">
            <v>0</v>
          </cell>
        </row>
        <row r="7561">
          <cell r="A7561">
            <v>0</v>
          </cell>
          <cell r="K7561">
            <v>0</v>
          </cell>
        </row>
        <row r="7562">
          <cell r="A7562">
            <v>0</v>
          </cell>
          <cell r="K7562">
            <v>0</v>
          </cell>
        </row>
        <row r="7563">
          <cell r="A7563">
            <v>0</v>
          </cell>
          <cell r="K7563">
            <v>0</v>
          </cell>
        </row>
        <row r="7564">
          <cell r="A7564">
            <v>0</v>
          </cell>
          <cell r="K7564">
            <v>0</v>
          </cell>
        </row>
        <row r="7565">
          <cell r="A7565">
            <v>0</v>
          </cell>
          <cell r="K7565">
            <v>0</v>
          </cell>
        </row>
        <row r="7566">
          <cell r="A7566">
            <v>0</v>
          </cell>
          <cell r="K7566">
            <v>0</v>
          </cell>
        </row>
        <row r="7567">
          <cell r="A7567">
            <v>0</v>
          </cell>
          <cell r="K7567">
            <v>0</v>
          </cell>
        </row>
        <row r="7568">
          <cell r="A7568">
            <v>0</v>
          </cell>
          <cell r="K7568">
            <v>0</v>
          </cell>
        </row>
        <row r="7569">
          <cell r="A7569">
            <v>0</v>
          </cell>
          <cell r="K7569">
            <v>0</v>
          </cell>
        </row>
        <row r="7570">
          <cell r="A7570">
            <v>0</v>
          </cell>
          <cell r="K7570">
            <v>0</v>
          </cell>
        </row>
        <row r="7571">
          <cell r="A7571">
            <v>0</v>
          </cell>
          <cell r="K7571">
            <v>0</v>
          </cell>
        </row>
        <row r="7572">
          <cell r="A7572">
            <v>0</v>
          </cell>
          <cell r="K7572">
            <v>0</v>
          </cell>
        </row>
        <row r="7573">
          <cell r="A7573">
            <v>0</v>
          </cell>
          <cell r="K7573">
            <v>0</v>
          </cell>
        </row>
        <row r="7574">
          <cell r="A7574">
            <v>0</v>
          </cell>
          <cell r="K7574">
            <v>0</v>
          </cell>
        </row>
        <row r="7575">
          <cell r="A7575">
            <v>0</v>
          </cell>
          <cell r="K7575">
            <v>0</v>
          </cell>
        </row>
        <row r="7576">
          <cell r="A7576">
            <v>0</v>
          </cell>
          <cell r="K7576">
            <v>0</v>
          </cell>
        </row>
        <row r="7577">
          <cell r="A7577">
            <v>0</v>
          </cell>
          <cell r="K7577">
            <v>0</v>
          </cell>
        </row>
        <row r="7578">
          <cell r="A7578">
            <v>0</v>
          </cell>
          <cell r="K7578">
            <v>0</v>
          </cell>
        </row>
        <row r="7579">
          <cell r="A7579">
            <v>0</v>
          </cell>
          <cell r="K7579">
            <v>0</v>
          </cell>
        </row>
        <row r="7580">
          <cell r="A7580">
            <v>0</v>
          </cell>
          <cell r="K7580">
            <v>0</v>
          </cell>
        </row>
        <row r="7581">
          <cell r="A7581">
            <v>0</v>
          </cell>
          <cell r="K7581">
            <v>0</v>
          </cell>
        </row>
        <row r="7582">
          <cell r="A7582">
            <v>0</v>
          </cell>
          <cell r="K7582">
            <v>0</v>
          </cell>
        </row>
        <row r="7583">
          <cell r="A7583">
            <v>0</v>
          </cell>
          <cell r="K7583">
            <v>0</v>
          </cell>
        </row>
        <row r="7584">
          <cell r="A7584">
            <v>0</v>
          </cell>
          <cell r="K7584">
            <v>0</v>
          </cell>
        </row>
        <row r="7585">
          <cell r="A7585">
            <v>0</v>
          </cell>
          <cell r="K7585">
            <v>0</v>
          </cell>
        </row>
        <row r="7586">
          <cell r="A7586">
            <v>0</v>
          </cell>
          <cell r="K7586">
            <v>0</v>
          </cell>
        </row>
        <row r="7587">
          <cell r="A7587">
            <v>0</v>
          </cell>
          <cell r="K7587">
            <v>0</v>
          </cell>
        </row>
        <row r="7588">
          <cell r="A7588">
            <v>0</v>
          </cell>
          <cell r="K7588">
            <v>0</v>
          </cell>
        </row>
        <row r="7589">
          <cell r="A7589">
            <v>0</v>
          </cell>
          <cell r="K7589">
            <v>0</v>
          </cell>
        </row>
        <row r="7590">
          <cell r="A7590">
            <v>0</v>
          </cell>
          <cell r="K7590">
            <v>0</v>
          </cell>
        </row>
        <row r="7591">
          <cell r="A7591">
            <v>0</v>
          </cell>
          <cell r="K7591">
            <v>0</v>
          </cell>
        </row>
        <row r="7592">
          <cell r="A7592">
            <v>0</v>
          </cell>
          <cell r="K7592">
            <v>0</v>
          </cell>
        </row>
        <row r="7593">
          <cell r="A7593">
            <v>0</v>
          </cell>
          <cell r="K7593">
            <v>0</v>
          </cell>
        </row>
        <row r="7594">
          <cell r="A7594">
            <v>0</v>
          </cell>
          <cell r="K7594">
            <v>0</v>
          </cell>
        </row>
        <row r="7595">
          <cell r="A7595">
            <v>0</v>
          </cell>
          <cell r="K7595">
            <v>0</v>
          </cell>
        </row>
        <row r="7596">
          <cell r="A7596">
            <v>0</v>
          </cell>
          <cell r="K7596">
            <v>0</v>
          </cell>
        </row>
        <row r="7597">
          <cell r="A7597">
            <v>0</v>
          </cell>
          <cell r="K7597">
            <v>0</v>
          </cell>
        </row>
        <row r="7598">
          <cell r="A7598">
            <v>0</v>
          </cell>
          <cell r="K7598">
            <v>0</v>
          </cell>
        </row>
        <row r="7599">
          <cell r="A7599">
            <v>0</v>
          </cell>
          <cell r="K7599">
            <v>0</v>
          </cell>
        </row>
        <row r="7600">
          <cell r="A7600">
            <v>0</v>
          </cell>
          <cell r="K7600">
            <v>0</v>
          </cell>
        </row>
        <row r="7601">
          <cell r="A7601">
            <v>0</v>
          </cell>
          <cell r="K7601">
            <v>0</v>
          </cell>
        </row>
        <row r="7602">
          <cell r="A7602">
            <v>0</v>
          </cell>
          <cell r="K7602">
            <v>0</v>
          </cell>
        </row>
        <row r="7603">
          <cell r="A7603">
            <v>0</v>
          </cell>
          <cell r="K7603">
            <v>0</v>
          </cell>
        </row>
        <row r="7604">
          <cell r="A7604">
            <v>0</v>
          </cell>
          <cell r="K7604">
            <v>0</v>
          </cell>
        </row>
        <row r="7605">
          <cell r="A7605">
            <v>0</v>
          </cell>
          <cell r="K7605">
            <v>0</v>
          </cell>
        </row>
        <row r="7606">
          <cell r="A7606">
            <v>0</v>
          </cell>
          <cell r="K7606">
            <v>0</v>
          </cell>
        </row>
        <row r="7607">
          <cell r="A7607">
            <v>0</v>
          </cell>
          <cell r="K7607">
            <v>0</v>
          </cell>
        </row>
        <row r="7608">
          <cell r="A7608">
            <v>0</v>
          </cell>
          <cell r="K7608">
            <v>0</v>
          </cell>
        </row>
        <row r="7609">
          <cell r="A7609">
            <v>0</v>
          </cell>
          <cell r="K7609">
            <v>0</v>
          </cell>
        </row>
        <row r="7610">
          <cell r="A7610">
            <v>0</v>
          </cell>
          <cell r="K7610">
            <v>0</v>
          </cell>
        </row>
        <row r="7611">
          <cell r="A7611">
            <v>0</v>
          </cell>
          <cell r="K7611">
            <v>0</v>
          </cell>
        </row>
        <row r="7612">
          <cell r="A7612">
            <v>0</v>
          </cell>
          <cell r="K7612">
            <v>0</v>
          </cell>
        </row>
        <row r="7613">
          <cell r="A7613">
            <v>0</v>
          </cell>
          <cell r="K7613">
            <v>0</v>
          </cell>
        </row>
        <row r="7614">
          <cell r="A7614">
            <v>0</v>
          </cell>
          <cell r="K7614">
            <v>0</v>
          </cell>
        </row>
        <row r="7615">
          <cell r="A7615">
            <v>0</v>
          </cell>
          <cell r="K7615">
            <v>0</v>
          </cell>
        </row>
        <row r="7616">
          <cell r="A7616">
            <v>0</v>
          </cell>
          <cell r="K7616">
            <v>0</v>
          </cell>
        </row>
        <row r="7617">
          <cell r="A7617">
            <v>0</v>
          </cell>
          <cell r="K7617">
            <v>0</v>
          </cell>
        </row>
        <row r="7618">
          <cell r="A7618">
            <v>0</v>
          </cell>
          <cell r="K7618">
            <v>0</v>
          </cell>
        </row>
        <row r="7619">
          <cell r="A7619">
            <v>0</v>
          </cell>
          <cell r="K7619">
            <v>0</v>
          </cell>
        </row>
        <row r="7620">
          <cell r="A7620">
            <v>0</v>
          </cell>
          <cell r="K7620">
            <v>0</v>
          </cell>
        </row>
        <row r="7621">
          <cell r="A7621">
            <v>0</v>
          </cell>
          <cell r="K7621">
            <v>0</v>
          </cell>
        </row>
        <row r="7622">
          <cell r="A7622">
            <v>0</v>
          </cell>
          <cell r="K7622">
            <v>0</v>
          </cell>
        </row>
        <row r="7623">
          <cell r="A7623">
            <v>0</v>
          </cell>
          <cell r="K7623">
            <v>0</v>
          </cell>
        </row>
        <row r="7624">
          <cell r="A7624">
            <v>0</v>
          </cell>
          <cell r="K7624">
            <v>0</v>
          </cell>
        </row>
        <row r="7625">
          <cell r="A7625">
            <v>0</v>
          </cell>
          <cell r="K7625">
            <v>0</v>
          </cell>
        </row>
        <row r="7626">
          <cell r="A7626">
            <v>0</v>
          </cell>
          <cell r="K7626">
            <v>0</v>
          </cell>
        </row>
        <row r="7627">
          <cell r="A7627">
            <v>0</v>
          </cell>
          <cell r="K7627">
            <v>0</v>
          </cell>
        </row>
        <row r="7628">
          <cell r="A7628">
            <v>0</v>
          </cell>
          <cell r="K7628">
            <v>0</v>
          </cell>
        </row>
        <row r="7629">
          <cell r="A7629">
            <v>0</v>
          </cell>
          <cell r="K7629">
            <v>0</v>
          </cell>
        </row>
        <row r="7630">
          <cell r="A7630">
            <v>0</v>
          </cell>
          <cell r="K7630">
            <v>0</v>
          </cell>
        </row>
        <row r="7631">
          <cell r="A7631">
            <v>0</v>
          </cell>
          <cell r="K7631">
            <v>0</v>
          </cell>
        </row>
        <row r="7632">
          <cell r="A7632">
            <v>0</v>
          </cell>
          <cell r="K7632">
            <v>0</v>
          </cell>
        </row>
        <row r="7633">
          <cell r="A7633">
            <v>0</v>
          </cell>
          <cell r="K7633">
            <v>0</v>
          </cell>
        </row>
        <row r="7634">
          <cell r="A7634">
            <v>0</v>
          </cell>
          <cell r="K7634">
            <v>0</v>
          </cell>
        </row>
        <row r="7635">
          <cell r="A7635">
            <v>0</v>
          </cell>
          <cell r="K7635">
            <v>0</v>
          </cell>
        </row>
        <row r="7636">
          <cell r="A7636">
            <v>0</v>
          </cell>
          <cell r="K7636">
            <v>0</v>
          </cell>
        </row>
        <row r="7637">
          <cell r="A7637">
            <v>0</v>
          </cell>
          <cell r="K7637">
            <v>0</v>
          </cell>
        </row>
        <row r="7638">
          <cell r="A7638">
            <v>0</v>
          </cell>
          <cell r="K7638">
            <v>0</v>
          </cell>
        </row>
        <row r="7639">
          <cell r="A7639">
            <v>0</v>
          </cell>
          <cell r="K7639">
            <v>0</v>
          </cell>
        </row>
        <row r="7640">
          <cell r="A7640">
            <v>0</v>
          </cell>
          <cell r="K7640">
            <v>0</v>
          </cell>
        </row>
        <row r="7641">
          <cell r="A7641">
            <v>0</v>
          </cell>
          <cell r="K7641">
            <v>0</v>
          </cell>
        </row>
        <row r="7642">
          <cell r="A7642">
            <v>0</v>
          </cell>
          <cell r="K7642">
            <v>0</v>
          </cell>
        </row>
        <row r="7643">
          <cell r="A7643">
            <v>0</v>
          </cell>
          <cell r="K7643">
            <v>0</v>
          </cell>
        </row>
        <row r="7644">
          <cell r="A7644">
            <v>0</v>
          </cell>
          <cell r="K7644">
            <v>0</v>
          </cell>
        </row>
        <row r="7645">
          <cell r="A7645">
            <v>0</v>
          </cell>
          <cell r="K7645">
            <v>0</v>
          </cell>
        </row>
        <row r="7646">
          <cell r="A7646">
            <v>0</v>
          </cell>
          <cell r="K7646">
            <v>0</v>
          </cell>
        </row>
        <row r="7647">
          <cell r="A7647">
            <v>0</v>
          </cell>
          <cell r="K7647">
            <v>0</v>
          </cell>
        </row>
        <row r="7648">
          <cell r="A7648">
            <v>0</v>
          </cell>
          <cell r="K7648">
            <v>0</v>
          </cell>
        </row>
        <row r="7649">
          <cell r="A7649">
            <v>0</v>
          </cell>
          <cell r="K7649">
            <v>0</v>
          </cell>
        </row>
        <row r="7650">
          <cell r="A7650">
            <v>0</v>
          </cell>
          <cell r="K7650">
            <v>0</v>
          </cell>
        </row>
        <row r="7651">
          <cell r="A7651">
            <v>0</v>
          </cell>
          <cell r="K7651">
            <v>0</v>
          </cell>
        </row>
        <row r="7652">
          <cell r="A7652">
            <v>0</v>
          </cell>
          <cell r="K7652">
            <v>0</v>
          </cell>
        </row>
        <row r="7653">
          <cell r="A7653">
            <v>0</v>
          </cell>
          <cell r="K7653">
            <v>0</v>
          </cell>
        </row>
        <row r="7654">
          <cell r="A7654">
            <v>0</v>
          </cell>
          <cell r="K7654">
            <v>0</v>
          </cell>
        </row>
        <row r="7655">
          <cell r="A7655">
            <v>0</v>
          </cell>
          <cell r="K7655">
            <v>0</v>
          </cell>
        </row>
        <row r="7656">
          <cell r="A7656">
            <v>0</v>
          </cell>
          <cell r="K7656">
            <v>0</v>
          </cell>
        </row>
        <row r="7657">
          <cell r="A7657">
            <v>0</v>
          </cell>
          <cell r="K7657">
            <v>0</v>
          </cell>
        </row>
        <row r="7658">
          <cell r="A7658">
            <v>0</v>
          </cell>
          <cell r="K7658">
            <v>0</v>
          </cell>
        </row>
        <row r="7659">
          <cell r="A7659">
            <v>0</v>
          </cell>
          <cell r="K7659">
            <v>0</v>
          </cell>
        </row>
        <row r="7660">
          <cell r="A7660">
            <v>0</v>
          </cell>
          <cell r="K7660">
            <v>0</v>
          </cell>
        </row>
        <row r="7661">
          <cell r="A7661">
            <v>0</v>
          </cell>
          <cell r="K7661">
            <v>0</v>
          </cell>
        </row>
        <row r="7662">
          <cell r="A7662">
            <v>0</v>
          </cell>
          <cell r="K7662">
            <v>0</v>
          </cell>
        </row>
        <row r="7663">
          <cell r="A7663">
            <v>0</v>
          </cell>
          <cell r="K7663">
            <v>0</v>
          </cell>
        </row>
        <row r="7664">
          <cell r="A7664">
            <v>0</v>
          </cell>
          <cell r="K7664">
            <v>0</v>
          </cell>
        </row>
        <row r="7665">
          <cell r="A7665">
            <v>0</v>
          </cell>
          <cell r="K7665">
            <v>0</v>
          </cell>
        </row>
        <row r="7666">
          <cell r="A7666">
            <v>0</v>
          </cell>
          <cell r="K7666">
            <v>0</v>
          </cell>
        </row>
        <row r="7667">
          <cell r="A7667">
            <v>0</v>
          </cell>
          <cell r="K7667">
            <v>0</v>
          </cell>
        </row>
        <row r="7668">
          <cell r="A7668">
            <v>0</v>
          </cell>
          <cell r="K7668">
            <v>0</v>
          </cell>
        </row>
        <row r="7669">
          <cell r="A7669">
            <v>0</v>
          </cell>
          <cell r="K7669">
            <v>0</v>
          </cell>
        </row>
        <row r="7670">
          <cell r="A7670">
            <v>0</v>
          </cell>
          <cell r="K7670">
            <v>0</v>
          </cell>
        </row>
        <row r="7671">
          <cell r="A7671">
            <v>0</v>
          </cell>
          <cell r="K7671">
            <v>0</v>
          </cell>
        </row>
        <row r="7672">
          <cell r="A7672">
            <v>0</v>
          </cell>
          <cell r="K7672">
            <v>0</v>
          </cell>
        </row>
        <row r="7673">
          <cell r="A7673">
            <v>0</v>
          </cell>
          <cell r="K7673">
            <v>0</v>
          </cell>
        </row>
        <row r="7674">
          <cell r="A7674">
            <v>0</v>
          </cell>
          <cell r="K7674">
            <v>0</v>
          </cell>
        </row>
        <row r="7675">
          <cell r="A7675">
            <v>0</v>
          </cell>
          <cell r="K7675">
            <v>0</v>
          </cell>
        </row>
        <row r="7676">
          <cell r="A7676">
            <v>0</v>
          </cell>
          <cell r="K7676">
            <v>0</v>
          </cell>
        </row>
        <row r="7677">
          <cell r="A7677">
            <v>0</v>
          </cell>
          <cell r="K7677">
            <v>0</v>
          </cell>
        </row>
        <row r="7678">
          <cell r="A7678">
            <v>0</v>
          </cell>
          <cell r="K7678">
            <v>0</v>
          </cell>
        </row>
        <row r="7679">
          <cell r="A7679">
            <v>0</v>
          </cell>
          <cell r="K7679">
            <v>0</v>
          </cell>
        </row>
        <row r="7680">
          <cell r="A7680">
            <v>0</v>
          </cell>
          <cell r="K7680">
            <v>0</v>
          </cell>
        </row>
        <row r="7681">
          <cell r="A7681">
            <v>0</v>
          </cell>
          <cell r="K7681">
            <v>0</v>
          </cell>
        </row>
        <row r="7682">
          <cell r="A7682">
            <v>0</v>
          </cell>
          <cell r="K7682">
            <v>0</v>
          </cell>
        </row>
        <row r="7683">
          <cell r="A7683">
            <v>0</v>
          </cell>
          <cell r="K7683">
            <v>0</v>
          </cell>
        </row>
        <row r="7684">
          <cell r="A7684">
            <v>0</v>
          </cell>
          <cell r="K7684">
            <v>0</v>
          </cell>
        </row>
        <row r="7685">
          <cell r="A7685">
            <v>0</v>
          </cell>
          <cell r="K7685">
            <v>0</v>
          </cell>
        </row>
        <row r="7686">
          <cell r="A7686">
            <v>0</v>
          </cell>
          <cell r="K7686">
            <v>0</v>
          </cell>
        </row>
        <row r="7687">
          <cell r="A7687">
            <v>0</v>
          </cell>
          <cell r="K7687">
            <v>0</v>
          </cell>
        </row>
        <row r="7688">
          <cell r="A7688">
            <v>0</v>
          </cell>
          <cell r="K7688">
            <v>0</v>
          </cell>
        </row>
        <row r="7689">
          <cell r="A7689">
            <v>0</v>
          </cell>
          <cell r="K7689">
            <v>0</v>
          </cell>
        </row>
        <row r="7690">
          <cell r="A7690">
            <v>0</v>
          </cell>
          <cell r="K7690">
            <v>0</v>
          </cell>
        </row>
        <row r="7691">
          <cell r="A7691">
            <v>0</v>
          </cell>
          <cell r="K7691">
            <v>0</v>
          </cell>
        </row>
        <row r="7692">
          <cell r="A7692">
            <v>0</v>
          </cell>
          <cell r="K7692">
            <v>0</v>
          </cell>
        </row>
        <row r="7693">
          <cell r="A7693">
            <v>0</v>
          </cell>
          <cell r="K7693">
            <v>0</v>
          </cell>
        </row>
        <row r="7694">
          <cell r="A7694">
            <v>0</v>
          </cell>
          <cell r="K7694">
            <v>0</v>
          </cell>
        </row>
        <row r="7695">
          <cell r="A7695">
            <v>0</v>
          </cell>
          <cell r="K7695">
            <v>0</v>
          </cell>
        </row>
        <row r="7696">
          <cell r="A7696">
            <v>0</v>
          </cell>
          <cell r="K7696">
            <v>0</v>
          </cell>
        </row>
        <row r="7697">
          <cell r="A7697">
            <v>0</v>
          </cell>
          <cell r="K7697">
            <v>0</v>
          </cell>
        </row>
        <row r="7698">
          <cell r="A7698">
            <v>0</v>
          </cell>
          <cell r="K7698">
            <v>0</v>
          </cell>
        </row>
        <row r="7699">
          <cell r="A7699">
            <v>0</v>
          </cell>
          <cell r="K7699">
            <v>0</v>
          </cell>
        </row>
        <row r="7700">
          <cell r="A7700">
            <v>0</v>
          </cell>
          <cell r="K7700">
            <v>0</v>
          </cell>
        </row>
        <row r="7701">
          <cell r="A7701">
            <v>0</v>
          </cell>
          <cell r="K7701">
            <v>0</v>
          </cell>
        </row>
        <row r="7702">
          <cell r="A7702">
            <v>0</v>
          </cell>
          <cell r="K7702">
            <v>0</v>
          </cell>
        </row>
        <row r="7703">
          <cell r="A7703">
            <v>0</v>
          </cell>
          <cell r="K7703">
            <v>0</v>
          </cell>
        </row>
        <row r="7704">
          <cell r="A7704">
            <v>0</v>
          </cell>
          <cell r="K7704">
            <v>0</v>
          </cell>
        </row>
        <row r="7705">
          <cell r="A7705">
            <v>0</v>
          </cell>
          <cell r="K7705">
            <v>0</v>
          </cell>
        </row>
        <row r="7706">
          <cell r="A7706">
            <v>0</v>
          </cell>
          <cell r="K7706">
            <v>0</v>
          </cell>
        </row>
        <row r="7707">
          <cell r="A7707">
            <v>0</v>
          </cell>
          <cell r="K7707">
            <v>0</v>
          </cell>
        </row>
        <row r="7708">
          <cell r="A7708">
            <v>0</v>
          </cell>
          <cell r="K7708">
            <v>0</v>
          </cell>
        </row>
        <row r="7709">
          <cell r="A7709">
            <v>0</v>
          </cell>
          <cell r="K7709">
            <v>0</v>
          </cell>
        </row>
        <row r="7710">
          <cell r="A7710">
            <v>0</v>
          </cell>
          <cell r="K7710">
            <v>0</v>
          </cell>
        </row>
        <row r="7711">
          <cell r="A7711">
            <v>0</v>
          </cell>
          <cell r="K7711">
            <v>0</v>
          </cell>
        </row>
        <row r="7712">
          <cell r="A7712">
            <v>0</v>
          </cell>
          <cell r="K7712">
            <v>0</v>
          </cell>
        </row>
        <row r="7713">
          <cell r="A7713">
            <v>0</v>
          </cell>
          <cell r="K7713">
            <v>0</v>
          </cell>
        </row>
        <row r="7714">
          <cell r="A7714">
            <v>0</v>
          </cell>
          <cell r="K7714">
            <v>0</v>
          </cell>
        </row>
        <row r="7715">
          <cell r="A7715">
            <v>0</v>
          </cell>
          <cell r="K7715">
            <v>0</v>
          </cell>
        </row>
        <row r="7716">
          <cell r="A7716">
            <v>0</v>
          </cell>
          <cell r="K7716">
            <v>0</v>
          </cell>
        </row>
        <row r="7717">
          <cell r="A7717">
            <v>0</v>
          </cell>
          <cell r="K7717">
            <v>0</v>
          </cell>
        </row>
        <row r="7718">
          <cell r="A7718">
            <v>0</v>
          </cell>
          <cell r="K7718">
            <v>0</v>
          </cell>
        </row>
        <row r="7719">
          <cell r="A7719">
            <v>0</v>
          </cell>
          <cell r="K7719">
            <v>0</v>
          </cell>
        </row>
        <row r="7720">
          <cell r="A7720">
            <v>0</v>
          </cell>
          <cell r="K7720">
            <v>0</v>
          </cell>
        </row>
        <row r="7721">
          <cell r="A7721">
            <v>0</v>
          </cell>
          <cell r="K7721">
            <v>0</v>
          </cell>
        </row>
        <row r="7722">
          <cell r="A7722">
            <v>0</v>
          </cell>
          <cell r="K7722">
            <v>0</v>
          </cell>
        </row>
        <row r="7723">
          <cell r="A7723">
            <v>0</v>
          </cell>
          <cell r="K7723">
            <v>0</v>
          </cell>
        </row>
        <row r="7724">
          <cell r="A7724">
            <v>0</v>
          </cell>
          <cell r="K7724">
            <v>0</v>
          </cell>
        </row>
        <row r="7725">
          <cell r="A7725">
            <v>0</v>
          </cell>
          <cell r="K7725">
            <v>0</v>
          </cell>
        </row>
        <row r="7726">
          <cell r="A7726">
            <v>0</v>
          </cell>
          <cell r="K7726">
            <v>0</v>
          </cell>
        </row>
        <row r="7727">
          <cell r="A7727">
            <v>0</v>
          </cell>
          <cell r="K7727">
            <v>0</v>
          </cell>
        </row>
        <row r="7728">
          <cell r="A7728">
            <v>0</v>
          </cell>
          <cell r="K7728">
            <v>0</v>
          </cell>
        </row>
        <row r="7729">
          <cell r="A7729">
            <v>0</v>
          </cell>
          <cell r="K7729">
            <v>0</v>
          </cell>
        </row>
        <row r="7730">
          <cell r="A7730">
            <v>0</v>
          </cell>
          <cell r="K7730">
            <v>0</v>
          </cell>
        </row>
        <row r="7731">
          <cell r="A7731">
            <v>0</v>
          </cell>
          <cell r="K7731">
            <v>0</v>
          </cell>
        </row>
        <row r="7732">
          <cell r="A7732">
            <v>0</v>
          </cell>
          <cell r="K7732">
            <v>0</v>
          </cell>
        </row>
        <row r="7733">
          <cell r="A7733">
            <v>0</v>
          </cell>
          <cell r="K7733">
            <v>0</v>
          </cell>
        </row>
        <row r="7734">
          <cell r="A7734">
            <v>0</v>
          </cell>
          <cell r="K7734">
            <v>0</v>
          </cell>
        </row>
        <row r="7735">
          <cell r="A7735">
            <v>0</v>
          </cell>
          <cell r="K7735">
            <v>0</v>
          </cell>
        </row>
        <row r="7736">
          <cell r="A7736">
            <v>0</v>
          </cell>
          <cell r="K7736">
            <v>0</v>
          </cell>
        </row>
        <row r="7737">
          <cell r="A7737">
            <v>0</v>
          </cell>
          <cell r="K7737">
            <v>0</v>
          </cell>
        </row>
        <row r="7738">
          <cell r="A7738">
            <v>0</v>
          </cell>
          <cell r="K7738">
            <v>0</v>
          </cell>
        </row>
        <row r="7739">
          <cell r="A7739">
            <v>0</v>
          </cell>
          <cell r="K7739">
            <v>0</v>
          </cell>
        </row>
        <row r="7740">
          <cell r="A7740">
            <v>0</v>
          </cell>
          <cell r="K7740">
            <v>0</v>
          </cell>
        </row>
        <row r="7741">
          <cell r="A7741">
            <v>0</v>
          </cell>
          <cell r="K7741">
            <v>0</v>
          </cell>
        </row>
        <row r="7742">
          <cell r="A7742">
            <v>0</v>
          </cell>
          <cell r="K7742">
            <v>0</v>
          </cell>
        </row>
        <row r="7743">
          <cell r="A7743">
            <v>0</v>
          </cell>
          <cell r="K7743">
            <v>0</v>
          </cell>
        </row>
        <row r="7744">
          <cell r="A7744">
            <v>0</v>
          </cell>
          <cell r="K7744">
            <v>0</v>
          </cell>
        </row>
        <row r="7745">
          <cell r="A7745">
            <v>0</v>
          </cell>
          <cell r="K7745">
            <v>0</v>
          </cell>
        </row>
        <row r="7746">
          <cell r="A7746">
            <v>0</v>
          </cell>
          <cell r="K7746">
            <v>0</v>
          </cell>
        </row>
        <row r="7747">
          <cell r="A7747">
            <v>0</v>
          </cell>
          <cell r="K7747">
            <v>0</v>
          </cell>
        </row>
        <row r="7748">
          <cell r="A7748">
            <v>0</v>
          </cell>
          <cell r="K7748">
            <v>0</v>
          </cell>
        </row>
        <row r="7749">
          <cell r="A7749">
            <v>0</v>
          </cell>
          <cell r="K7749">
            <v>0</v>
          </cell>
        </row>
        <row r="7750">
          <cell r="A7750">
            <v>0</v>
          </cell>
          <cell r="K7750">
            <v>0</v>
          </cell>
        </row>
        <row r="7751">
          <cell r="A7751">
            <v>0</v>
          </cell>
          <cell r="K7751">
            <v>0</v>
          </cell>
        </row>
        <row r="7752">
          <cell r="A7752">
            <v>0</v>
          </cell>
          <cell r="K7752">
            <v>0</v>
          </cell>
        </row>
        <row r="7753">
          <cell r="A7753">
            <v>0</v>
          </cell>
          <cell r="K7753">
            <v>0</v>
          </cell>
        </row>
        <row r="7754">
          <cell r="A7754">
            <v>0</v>
          </cell>
          <cell r="K7754">
            <v>0</v>
          </cell>
        </row>
        <row r="7755">
          <cell r="A7755">
            <v>0</v>
          </cell>
          <cell r="K7755">
            <v>0</v>
          </cell>
        </row>
        <row r="7756">
          <cell r="A7756">
            <v>0</v>
          </cell>
          <cell r="K7756">
            <v>0</v>
          </cell>
        </row>
        <row r="7757">
          <cell r="A7757">
            <v>0</v>
          </cell>
          <cell r="K7757">
            <v>0</v>
          </cell>
        </row>
        <row r="7758">
          <cell r="A7758">
            <v>0</v>
          </cell>
          <cell r="K7758">
            <v>0</v>
          </cell>
        </row>
        <row r="7759">
          <cell r="A7759">
            <v>0</v>
          </cell>
          <cell r="K7759">
            <v>0</v>
          </cell>
        </row>
        <row r="7760">
          <cell r="A7760">
            <v>0</v>
          </cell>
          <cell r="K7760">
            <v>0</v>
          </cell>
        </row>
        <row r="7761">
          <cell r="A7761">
            <v>0</v>
          </cell>
          <cell r="K7761">
            <v>0</v>
          </cell>
        </row>
        <row r="7762">
          <cell r="A7762">
            <v>0</v>
          </cell>
          <cell r="K7762">
            <v>0</v>
          </cell>
        </row>
        <row r="7763">
          <cell r="A7763">
            <v>0</v>
          </cell>
          <cell r="K7763">
            <v>0</v>
          </cell>
        </row>
        <row r="7764">
          <cell r="A7764">
            <v>0</v>
          </cell>
          <cell r="K7764">
            <v>0</v>
          </cell>
        </row>
        <row r="7765">
          <cell r="A7765">
            <v>0</v>
          </cell>
          <cell r="K7765">
            <v>0</v>
          </cell>
        </row>
        <row r="7766">
          <cell r="A7766">
            <v>0</v>
          </cell>
          <cell r="K7766">
            <v>0</v>
          </cell>
        </row>
        <row r="7767">
          <cell r="A7767">
            <v>0</v>
          </cell>
          <cell r="K7767">
            <v>0</v>
          </cell>
        </row>
        <row r="7768">
          <cell r="A7768">
            <v>0</v>
          </cell>
          <cell r="K7768">
            <v>0</v>
          </cell>
        </row>
        <row r="7769">
          <cell r="A7769">
            <v>0</v>
          </cell>
          <cell r="K7769">
            <v>0</v>
          </cell>
        </row>
        <row r="7770">
          <cell r="A7770">
            <v>0</v>
          </cell>
          <cell r="K7770">
            <v>0</v>
          </cell>
        </row>
        <row r="7771">
          <cell r="A7771">
            <v>0</v>
          </cell>
          <cell r="K7771">
            <v>0</v>
          </cell>
        </row>
        <row r="7772">
          <cell r="A7772">
            <v>0</v>
          </cell>
          <cell r="K7772">
            <v>0</v>
          </cell>
        </row>
        <row r="7773">
          <cell r="A7773">
            <v>0</v>
          </cell>
          <cell r="K7773">
            <v>0</v>
          </cell>
        </row>
        <row r="7774">
          <cell r="A7774">
            <v>0</v>
          </cell>
          <cell r="K7774">
            <v>0</v>
          </cell>
        </row>
        <row r="7775">
          <cell r="A7775">
            <v>0</v>
          </cell>
          <cell r="K7775">
            <v>0</v>
          </cell>
        </row>
        <row r="7776">
          <cell r="A7776">
            <v>0</v>
          </cell>
          <cell r="K7776">
            <v>0</v>
          </cell>
        </row>
        <row r="7777">
          <cell r="A7777">
            <v>0</v>
          </cell>
          <cell r="K7777">
            <v>0</v>
          </cell>
        </row>
        <row r="7778">
          <cell r="A7778">
            <v>0</v>
          </cell>
          <cell r="K7778">
            <v>0</v>
          </cell>
        </row>
        <row r="7779">
          <cell r="A7779">
            <v>0</v>
          </cell>
          <cell r="K7779">
            <v>0</v>
          </cell>
        </row>
        <row r="7780">
          <cell r="A7780">
            <v>0</v>
          </cell>
          <cell r="K7780">
            <v>0</v>
          </cell>
        </row>
        <row r="7781">
          <cell r="A7781">
            <v>0</v>
          </cell>
          <cell r="K7781">
            <v>0</v>
          </cell>
        </row>
        <row r="7782">
          <cell r="A7782">
            <v>0</v>
          </cell>
          <cell r="K7782">
            <v>0</v>
          </cell>
        </row>
        <row r="7783">
          <cell r="A7783">
            <v>0</v>
          </cell>
          <cell r="K7783">
            <v>0</v>
          </cell>
        </row>
        <row r="7784">
          <cell r="A7784">
            <v>0</v>
          </cell>
          <cell r="K7784">
            <v>0</v>
          </cell>
        </row>
        <row r="7785">
          <cell r="A7785">
            <v>0</v>
          </cell>
          <cell r="K7785">
            <v>0</v>
          </cell>
        </row>
        <row r="7786">
          <cell r="A7786">
            <v>0</v>
          </cell>
          <cell r="K7786">
            <v>0</v>
          </cell>
        </row>
        <row r="7787">
          <cell r="A7787">
            <v>0</v>
          </cell>
          <cell r="K7787">
            <v>0</v>
          </cell>
        </row>
        <row r="7788">
          <cell r="A7788">
            <v>0</v>
          </cell>
          <cell r="K7788">
            <v>0</v>
          </cell>
        </row>
        <row r="7789">
          <cell r="A7789">
            <v>0</v>
          </cell>
          <cell r="K7789">
            <v>0</v>
          </cell>
        </row>
        <row r="7790">
          <cell r="A7790">
            <v>0</v>
          </cell>
          <cell r="K7790">
            <v>0</v>
          </cell>
        </row>
        <row r="7791">
          <cell r="A7791">
            <v>0</v>
          </cell>
          <cell r="K7791">
            <v>0</v>
          </cell>
        </row>
        <row r="7792">
          <cell r="A7792">
            <v>0</v>
          </cell>
          <cell r="K7792">
            <v>0</v>
          </cell>
        </row>
        <row r="7793">
          <cell r="A7793">
            <v>0</v>
          </cell>
          <cell r="K7793">
            <v>0</v>
          </cell>
        </row>
        <row r="7794">
          <cell r="A7794">
            <v>0</v>
          </cell>
          <cell r="K7794">
            <v>0</v>
          </cell>
        </row>
        <row r="7795">
          <cell r="A7795">
            <v>0</v>
          </cell>
          <cell r="K7795">
            <v>0</v>
          </cell>
        </row>
        <row r="7796">
          <cell r="A7796">
            <v>0</v>
          </cell>
          <cell r="K7796">
            <v>0</v>
          </cell>
        </row>
        <row r="7797">
          <cell r="A7797">
            <v>0</v>
          </cell>
          <cell r="K7797">
            <v>0</v>
          </cell>
        </row>
        <row r="7798">
          <cell r="A7798">
            <v>0</v>
          </cell>
          <cell r="K7798">
            <v>0</v>
          </cell>
        </row>
        <row r="7799">
          <cell r="A7799">
            <v>0</v>
          </cell>
          <cell r="K7799">
            <v>0</v>
          </cell>
        </row>
        <row r="7800">
          <cell r="A7800">
            <v>0</v>
          </cell>
          <cell r="K7800">
            <v>0</v>
          </cell>
        </row>
        <row r="7801">
          <cell r="A7801">
            <v>0</v>
          </cell>
          <cell r="K7801">
            <v>0</v>
          </cell>
        </row>
        <row r="7802">
          <cell r="A7802">
            <v>0</v>
          </cell>
          <cell r="K7802">
            <v>0</v>
          </cell>
        </row>
        <row r="7803">
          <cell r="A7803">
            <v>0</v>
          </cell>
          <cell r="K7803">
            <v>0</v>
          </cell>
        </row>
        <row r="7804">
          <cell r="A7804">
            <v>0</v>
          </cell>
          <cell r="K7804">
            <v>0</v>
          </cell>
        </row>
        <row r="7805">
          <cell r="A7805">
            <v>0</v>
          </cell>
          <cell r="K7805">
            <v>0</v>
          </cell>
        </row>
        <row r="7806">
          <cell r="A7806">
            <v>0</v>
          </cell>
          <cell r="K7806">
            <v>0</v>
          </cell>
        </row>
        <row r="7807">
          <cell r="A7807">
            <v>0</v>
          </cell>
          <cell r="K7807">
            <v>0</v>
          </cell>
        </row>
        <row r="7808">
          <cell r="A7808">
            <v>0</v>
          </cell>
          <cell r="K7808">
            <v>0</v>
          </cell>
        </row>
        <row r="7809">
          <cell r="A7809">
            <v>0</v>
          </cell>
          <cell r="K7809">
            <v>0</v>
          </cell>
        </row>
        <row r="7810">
          <cell r="A7810">
            <v>0</v>
          </cell>
          <cell r="K7810">
            <v>0</v>
          </cell>
        </row>
        <row r="7811">
          <cell r="A7811">
            <v>0</v>
          </cell>
          <cell r="K7811">
            <v>0</v>
          </cell>
        </row>
        <row r="7812">
          <cell r="A7812">
            <v>0</v>
          </cell>
          <cell r="K7812">
            <v>0</v>
          </cell>
        </row>
        <row r="7813">
          <cell r="A7813">
            <v>0</v>
          </cell>
          <cell r="K7813">
            <v>0</v>
          </cell>
        </row>
        <row r="7814">
          <cell r="A7814">
            <v>0</v>
          </cell>
          <cell r="K7814">
            <v>0</v>
          </cell>
        </row>
        <row r="7815">
          <cell r="A7815">
            <v>0</v>
          </cell>
          <cell r="K7815">
            <v>0</v>
          </cell>
        </row>
        <row r="7816">
          <cell r="A7816">
            <v>0</v>
          </cell>
          <cell r="K7816">
            <v>0</v>
          </cell>
        </row>
        <row r="7817">
          <cell r="A7817">
            <v>0</v>
          </cell>
          <cell r="K7817">
            <v>0</v>
          </cell>
        </row>
        <row r="7818">
          <cell r="A7818">
            <v>0</v>
          </cell>
          <cell r="K7818">
            <v>0</v>
          </cell>
        </row>
        <row r="7819">
          <cell r="A7819">
            <v>0</v>
          </cell>
          <cell r="K7819">
            <v>0</v>
          </cell>
        </row>
        <row r="7820">
          <cell r="A7820">
            <v>0</v>
          </cell>
          <cell r="K7820">
            <v>0</v>
          </cell>
        </row>
        <row r="7821">
          <cell r="A7821">
            <v>0</v>
          </cell>
          <cell r="K7821">
            <v>0</v>
          </cell>
        </row>
        <row r="7822">
          <cell r="A7822">
            <v>0</v>
          </cell>
          <cell r="K7822">
            <v>0</v>
          </cell>
        </row>
        <row r="7823">
          <cell r="A7823">
            <v>0</v>
          </cell>
          <cell r="K7823">
            <v>0</v>
          </cell>
        </row>
        <row r="7824">
          <cell r="A7824">
            <v>0</v>
          </cell>
          <cell r="K7824">
            <v>0</v>
          </cell>
        </row>
        <row r="7825">
          <cell r="A7825">
            <v>0</v>
          </cell>
          <cell r="K7825">
            <v>0</v>
          </cell>
        </row>
        <row r="7826">
          <cell r="A7826">
            <v>0</v>
          </cell>
          <cell r="K7826">
            <v>0</v>
          </cell>
        </row>
        <row r="7827">
          <cell r="A7827">
            <v>0</v>
          </cell>
          <cell r="K7827">
            <v>0</v>
          </cell>
        </row>
        <row r="7828">
          <cell r="A7828">
            <v>0</v>
          </cell>
          <cell r="K7828">
            <v>0</v>
          </cell>
        </row>
        <row r="7829">
          <cell r="A7829">
            <v>0</v>
          </cell>
          <cell r="K7829">
            <v>0</v>
          </cell>
        </row>
        <row r="7830">
          <cell r="A7830">
            <v>0</v>
          </cell>
          <cell r="K7830">
            <v>0</v>
          </cell>
        </row>
        <row r="7831">
          <cell r="A7831">
            <v>0</v>
          </cell>
          <cell r="K7831">
            <v>0</v>
          </cell>
        </row>
        <row r="7832">
          <cell r="A7832">
            <v>0</v>
          </cell>
          <cell r="K7832">
            <v>0</v>
          </cell>
        </row>
        <row r="7833">
          <cell r="A7833">
            <v>0</v>
          </cell>
          <cell r="K7833">
            <v>0</v>
          </cell>
        </row>
        <row r="7834">
          <cell r="A7834">
            <v>0</v>
          </cell>
          <cell r="K7834">
            <v>0</v>
          </cell>
        </row>
        <row r="7835">
          <cell r="A7835">
            <v>0</v>
          </cell>
          <cell r="K7835">
            <v>0</v>
          </cell>
        </row>
        <row r="7836">
          <cell r="A7836">
            <v>0</v>
          </cell>
          <cell r="K7836">
            <v>0</v>
          </cell>
        </row>
        <row r="7837">
          <cell r="A7837">
            <v>0</v>
          </cell>
          <cell r="K7837">
            <v>0</v>
          </cell>
        </row>
        <row r="7838">
          <cell r="A7838">
            <v>0</v>
          </cell>
          <cell r="K7838">
            <v>0</v>
          </cell>
        </row>
        <row r="7839">
          <cell r="A7839">
            <v>0</v>
          </cell>
          <cell r="K7839">
            <v>0</v>
          </cell>
        </row>
        <row r="7840">
          <cell r="A7840">
            <v>0</v>
          </cell>
          <cell r="K7840">
            <v>0</v>
          </cell>
        </row>
        <row r="7841">
          <cell r="A7841">
            <v>0</v>
          </cell>
          <cell r="K7841">
            <v>0</v>
          </cell>
        </row>
        <row r="7842">
          <cell r="A7842">
            <v>0</v>
          </cell>
          <cell r="K7842">
            <v>0</v>
          </cell>
        </row>
        <row r="7843">
          <cell r="A7843">
            <v>0</v>
          </cell>
          <cell r="K7843">
            <v>0</v>
          </cell>
        </row>
        <row r="7844">
          <cell r="A7844">
            <v>0</v>
          </cell>
          <cell r="K7844">
            <v>0</v>
          </cell>
        </row>
        <row r="7845">
          <cell r="A7845">
            <v>0</v>
          </cell>
          <cell r="K7845">
            <v>0</v>
          </cell>
        </row>
        <row r="7846">
          <cell r="A7846">
            <v>0</v>
          </cell>
          <cell r="K7846">
            <v>0</v>
          </cell>
        </row>
        <row r="7847">
          <cell r="A7847">
            <v>0</v>
          </cell>
          <cell r="K7847">
            <v>0</v>
          </cell>
        </row>
        <row r="7848">
          <cell r="A7848">
            <v>0</v>
          </cell>
          <cell r="K7848">
            <v>0</v>
          </cell>
        </row>
        <row r="7849">
          <cell r="A7849">
            <v>0</v>
          </cell>
          <cell r="K7849">
            <v>0</v>
          </cell>
        </row>
        <row r="7850">
          <cell r="A7850">
            <v>0</v>
          </cell>
          <cell r="K7850">
            <v>0</v>
          </cell>
        </row>
        <row r="7851">
          <cell r="A7851">
            <v>0</v>
          </cell>
          <cell r="K7851">
            <v>0</v>
          </cell>
        </row>
        <row r="7852">
          <cell r="A7852">
            <v>0</v>
          </cell>
          <cell r="K7852">
            <v>0</v>
          </cell>
        </row>
        <row r="7853">
          <cell r="A7853">
            <v>0</v>
          </cell>
          <cell r="K7853">
            <v>0</v>
          </cell>
        </row>
        <row r="7854">
          <cell r="A7854">
            <v>0</v>
          </cell>
          <cell r="K7854">
            <v>0</v>
          </cell>
        </row>
        <row r="7855">
          <cell r="A7855">
            <v>0</v>
          </cell>
          <cell r="K7855">
            <v>0</v>
          </cell>
        </row>
        <row r="7856">
          <cell r="A7856">
            <v>0</v>
          </cell>
          <cell r="K7856">
            <v>0</v>
          </cell>
        </row>
        <row r="7857">
          <cell r="A7857">
            <v>0</v>
          </cell>
          <cell r="K7857">
            <v>0</v>
          </cell>
        </row>
        <row r="7858">
          <cell r="A7858">
            <v>0</v>
          </cell>
          <cell r="K7858">
            <v>0</v>
          </cell>
        </row>
        <row r="7859">
          <cell r="A7859">
            <v>0</v>
          </cell>
          <cell r="K7859">
            <v>0</v>
          </cell>
        </row>
        <row r="7860">
          <cell r="A7860">
            <v>0</v>
          </cell>
          <cell r="K7860">
            <v>0</v>
          </cell>
        </row>
        <row r="7861">
          <cell r="A7861">
            <v>0</v>
          </cell>
          <cell r="K7861">
            <v>0</v>
          </cell>
        </row>
        <row r="7862">
          <cell r="A7862">
            <v>0</v>
          </cell>
          <cell r="K7862">
            <v>0</v>
          </cell>
        </row>
        <row r="7863">
          <cell r="A7863">
            <v>0</v>
          </cell>
          <cell r="K7863">
            <v>0</v>
          </cell>
        </row>
        <row r="7864">
          <cell r="A7864">
            <v>0</v>
          </cell>
          <cell r="K7864">
            <v>0</v>
          </cell>
        </row>
        <row r="7865">
          <cell r="A7865">
            <v>0</v>
          </cell>
          <cell r="K7865">
            <v>0</v>
          </cell>
        </row>
        <row r="7866">
          <cell r="A7866">
            <v>0</v>
          </cell>
          <cell r="K7866">
            <v>0</v>
          </cell>
        </row>
        <row r="7867">
          <cell r="A7867">
            <v>0</v>
          </cell>
          <cell r="K7867">
            <v>0</v>
          </cell>
        </row>
        <row r="7868">
          <cell r="A7868">
            <v>0</v>
          </cell>
          <cell r="K7868">
            <v>0</v>
          </cell>
        </row>
        <row r="7869">
          <cell r="A7869">
            <v>0</v>
          </cell>
          <cell r="K7869">
            <v>0</v>
          </cell>
        </row>
        <row r="7870">
          <cell r="A7870">
            <v>0</v>
          </cell>
          <cell r="K7870">
            <v>0</v>
          </cell>
        </row>
        <row r="7871">
          <cell r="A7871">
            <v>0</v>
          </cell>
          <cell r="K7871">
            <v>0</v>
          </cell>
        </row>
        <row r="7872">
          <cell r="A7872">
            <v>0</v>
          </cell>
          <cell r="K7872">
            <v>0</v>
          </cell>
        </row>
        <row r="7873">
          <cell r="A7873">
            <v>0</v>
          </cell>
          <cell r="K7873">
            <v>0</v>
          </cell>
        </row>
        <row r="7874">
          <cell r="A7874">
            <v>0</v>
          </cell>
          <cell r="K7874">
            <v>0</v>
          </cell>
        </row>
        <row r="7875">
          <cell r="A7875">
            <v>0</v>
          </cell>
          <cell r="K7875">
            <v>0</v>
          </cell>
        </row>
        <row r="7876">
          <cell r="A7876">
            <v>0</v>
          </cell>
          <cell r="K7876">
            <v>0</v>
          </cell>
        </row>
        <row r="7877">
          <cell r="A7877">
            <v>0</v>
          </cell>
          <cell r="K7877">
            <v>0</v>
          </cell>
        </row>
        <row r="7878">
          <cell r="A7878">
            <v>0</v>
          </cell>
          <cell r="K7878">
            <v>0</v>
          </cell>
        </row>
        <row r="7879">
          <cell r="A7879">
            <v>0</v>
          </cell>
          <cell r="K7879">
            <v>0</v>
          </cell>
        </row>
        <row r="7880">
          <cell r="A7880">
            <v>0</v>
          </cell>
          <cell r="K7880">
            <v>0</v>
          </cell>
        </row>
        <row r="7881">
          <cell r="A7881">
            <v>0</v>
          </cell>
          <cell r="K7881">
            <v>0</v>
          </cell>
        </row>
        <row r="7882">
          <cell r="A7882">
            <v>0</v>
          </cell>
          <cell r="K7882">
            <v>0</v>
          </cell>
        </row>
        <row r="7883">
          <cell r="A7883">
            <v>0</v>
          </cell>
          <cell r="K7883">
            <v>0</v>
          </cell>
        </row>
        <row r="7884">
          <cell r="A7884">
            <v>0</v>
          </cell>
          <cell r="K7884">
            <v>0</v>
          </cell>
        </row>
        <row r="7885">
          <cell r="A7885">
            <v>0</v>
          </cell>
          <cell r="K7885">
            <v>0</v>
          </cell>
        </row>
        <row r="7886">
          <cell r="A7886">
            <v>0</v>
          </cell>
          <cell r="K7886">
            <v>0</v>
          </cell>
        </row>
        <row r="7887">
          <cell r="A7887">
            <v>0</v>
          </cell>
          <cell r="K7887">
            <v>0</v>
          </cell>
        </row>
        <row r="7888">
          <cell r="A7888">
            <v>0</v>
          </cell>
          <cell r="K7888">
            <v>0</v>
          </cell>
        </row>
        <row r="7889">
          <cell r="A7889">
            <v>0</v>
          </cell>
          <cell r="K7889">
            <v>0</v>
          </cell>
        </row>
        <row r="7890">
          <cell r="A7890">
            <v>0</v>
          </cell>
          <cell r="K7890">
            <v>0</v>
          </cell>
        </row>
        <row r="7891">
          <cell r="A7891">
            <v>0</v>
          </cell>
          <cell r="K7891">
            <v>0</v>
          </cell>
        </row>
        <row r="7892">
          <cell r="A7892">
            <v>0</v>
          </cell>
          <cell r="K7892">
            <v>0</v>
          </cell>
        </row>
        <row r="7893">
          <cell r="A7893">
            <v>0</v>
          </cell>
          <cell r="K7893">
            <v>0</v>
          </cell>
        </row>
        <row r="7894">
          <cell r="A7894">
            <v>0</v>
          </cell>
          <cell r="K7894">
            <v>0</v>
          </cell>
        </row>
        <row r="7895">
          <cell r="A7895">
            <v>0</v>
          </cell>
          <cell r="K7895">
            <v>0</v>
          </cell>
        </row>
        <row r="7896">
          <cell r="A7896">
            <v>0</v>
          </cell>
          <cell r="K7896">
            <v>0</v>
          </cell>
        </row>
        <row r="7897">
          <cell r="A7897">
            <v>0</v>
          </cell>
          <cell r="K7897">
            <v>0</v>
          </cell>
        </row>
        <row r="7898">
          <cell r="A7898">
            <v>0</v>
          </cell>
          <cell r="K7898">
            <v>0</v>
          </cell>
        </row>
        <row r="7899">
          <cell r="A7899">
            <v>0</v>
          </cell>
          <cell r="K7899">
            <v>0</v>
          </cell>
        </row>
        <row r="7900">
          <cell r="A7900">
            <v>0</v>
          </cell>
          <cell r="K7900">
            <v>0</v>
          </cell>
        </row>
        <row r="7901">
          <cell r="A7901">
            <v>0</v>
          </cell>
          <cell r="K7901">
            <v>0</v>
          </cell>
        </row>
        <row r="7902">
          <cell r="A7902">
            <v>0</v>
          </cell>
          <cell r="K7902">
            <v>0</v>
          </cell>
        </row>
        <row r="7903">
          <cell r="A7903">
            <v>0</v>
          </cell>
          <cell r="K7903">
            <v>0</v>
          </cell>
        </row>
        <row r="7904">
          <cell r="A7904">
            <v>0</v>
          </cell>
          <cell r="K7904">
            <v>0</v>
          </cell>
        </row>
        <row r="7905">
          <cell r="A7905">
            <v>0</v>
          </cell>
          <cell r="K7905">
            <v>0</v>
          </cell>
        </row>
        <row r="7906">
          <cell r="A7906">
            <v>0</v>
          </cell>
          <cell r="K7906">
            <v>0</v>
          </cell>
        </row>
        <row r="7907">
          <cell r="A7907">
            <v>0</v>
          </cell>
          <cell r="K7907">
            <v>0</v>
          </cell>
        </row>
        <row r="7908">
          <cell r="A7908">
            <v>0</v>
          </cell>
          <cell r="K7908">
            <v>0</v>
          </cell>
        </row>
        <row r="7909">
          <cell r="A7909">
            <v>0</v>
          </cell>
          <cell r="K7909">
            <v>0</v>
          </cell>
        </row>
        <row r="7910">
          <cell r="A7910">
            <v>0</v>
          </cell>
          <cell r="K7910">
            <v>0</v>
          </cell>
        </row>
        <row r="7911">
          <cell r="A7911">
            <v>0</v>
          </cell>
          <cell r="K7911">
            <v>0</v>
          </cell>
        </row>
        <row r="7912">
          <cell r="A7912">
            <v>0</v>
          </cell>
          <cell r="K7912">
            <v>0</v>
          </cell>
        </row>
        <row r="7913">
          <cell r="A7913">
            <v>0</v>
          </cell>
          <cell r="K7913">
            <v>0</v>
          </cell>
        </row>
        <row r="7914">
          <cell r="A7914">
            <v>0</v>
          </cell>
          <cell r="K7914">
            <v>0</v>
          </cell>
        </row>
        <row r="7915">
          <cell r="A7915">
            <v>0</v>
          </cell>
          <cell r="K7915">
            <v>0</v>
          </cell>
        </row>
        <row r="7916">
          <cell r="A7916">
            <v>0</v>
          </cell>
          <cell r="K7916">
            <v>0</v>
          </cell>
        </row>
        <row r="7917">
          <cell r="A7917">
            <v>0</v>
          </cell>
          <cell r="K7917">
            <v>0</v>
          </cell>
        </row>
        <row r="7918">
          <cell r="A7918">
            <v>0</v>
          </cell>
          <cell r="K7918">
            <v>0</v>
          </cell>
        </row>
        <row r="7919">
          <cell r="A7919">
            <v>0</v>
          </cell>
          <cell r="K7919">
            <v>0</v>
          </cell>
        </row>
        <row r="7920">
          <cell r="A7920">
            <v>0</v>
          </cell>
          <cell r="K7920">
            <v>0</v>
          </cell>
        </row>
        <row r="7921">
          <cell r="A7921">
            <v>0</v>
          </cell>
          <cell r="K7921">
            <v>0</v>
          </cell>
        </row>
        <row r="7922">
          <cell r="A7922">
            <v>0</v>
          </cell>
          <cell r="K7922">
            <v>0</v>
          </cell>
        </row>
        <row r="7923">
          <cell r="A7923">
            <v>0</v>
          </cell>
          <cell r="K7923">
            <v>0</v>
          </cell>
        </row>
        <row r="7924">
          <cell r="A7924">
            <v>0</v>
          </cell>
          <cell r="K7924">
            <v>0</v>
          </cell>
        </row>
        <row r="7925">
          <cell r="A7925">
            <v>0</v>
          </cell>
          <cell r="K7925">
            <v>0</v>
          </cell>
        </row>
        <row r="7926">
          <cell r="A7926">
            <v>0</v>
          </cell>
          <cell r="K7926">
            <v>0</v>
          </cell>
        </row>
        <row r="7927">
          <cell r="A7927">
            <v>0</v>
          </cell>
          <cell r="K7927">
            <v>0</v>
          </cell>
        </row>
        <row r="7928">
          <cell r="A7928">
            <v>0</v>
          </cell>
          <cell r="K7928">
            <v>0</v>
          </cell>
        </row>
        <row r="7929">
          <cell r="A7929">
            <v>0</v>
          </cell>
          <cell r="K7929">
            <v>0</v>
          </cell>
        </row>
        <row r="7930">
          <cell r="A7930">
            <v>0</v>
          </cell>
          <cell r="K7930">
            <v>0</v>
          </cell>
        </row>
        <row r="7931">
          <cell r="A7931">
            <v>0</v>
          </cell>
          <cell r="K7931">
            <v>0</v>
          </cell>
        </row>
        <row r="7932">
          <cell r="A7932">
            <v>0</v>
          </cell>
          <cell r="K7932">
            <v>0</v>
          </cell>
        </row>
        <row r="7933">
          <cell r="A7933">
            <v>0</v>
          </cell>
          <cell r="K7933">
            <v>0</v>
          </cell>
        </row>
        <row r="7934">
          <cell r="A7934">
            <v>0</v>
          </cell>
          <cell r="K7934">
            <v>0</v>
          </cell>
        </row>
        <row r="7935">
          <cell r="A7935">
            <v>0</v>
          </cell>
          <cell r="K7935">
            <v>0</v>
          </cell>
        </row>
        <row r="7936">
          <cell r="A7936">
            <v>0</v>
          </cell>
          <cell r="K7936">
            <v>0</v>
          </cell>
        </row>
        <row r="7937">
          <cell r="A7937">
            <v>0</v>
          </cell>
          <cell r="K7937">
            <v>0</v>
          </cell>
        </row>
        <row r="7938">
          <cell r="A7938">
            <v>0</v>
          </cell>
          <cell r="K7938">
            <v>0</v>
          </cell>
        </row>
        <row r="7939">
          <cell r="A7939">
            <v>0</v>
          </cell>
          <cell r="K7939">
            <v>0</v>
          </cell>
        </row>
        <row r="7940">
          <cell r="A7940">
            <v>0</v>
          </cell>
          <cell r="K7940">
            <v>0</v>
          </cell>
        </row>
        <row r="7941">
          <cell r="A7941">
            <v>0</v>
          </cell>
          <cell r="K7941">
            <v>0</v>
          </cell>
        </row>
        <row r="7942">
          <cell r="A7942">
            <v>0</v>
          </cell>
          <cell r="K7942">
            <v>0</v>
          </cell>
        </row>
        <row r="7943">
          <cell r="A7943">
            <v>0</v>
          </cell>
          <cell r="K7943">
            <v>0</v>
          </cell>
        </row>
        <row r="7944">
          <cell r="A7944">
            <v>0</v>
          </cell>
          <cell r="K7944">
            <v>0</v>
          </cell>
        </row>
        <row r="7945">
          <cell r="A7945">
            <v>0</v>
          </cell>
          <cell r="K7945">
            <v>0</v>
          </cell>
        </row>
        <row r="7946">
          <cell r="A7946">
            <v>0</v>
          </cell>
          <cell r="K7946">
            <v>0</v>
          </cell>
        </row>
        <row r="7947">
          <cell r="A7947">
            <v>0</v>
          </cell>
          <cell r="K7947">
            <v>0</v>
          </cell>
        </row>
        <row r="7948">
          <cell r="A7948">
            <v>0</v>
          </cell>
          <cell r="K7948">
            <v>0</v>
          </cell>
        </row>
        <row r="7949">
          <cell r="A7949">
            <v>0</v>
          </cell>
          <cell r="K7949">
            <v>0</v>
          </cell>
        </row>
        <row r="7950">
          <cell r="A7950">
            <v>0</v>
          </cell>
          <cell r="K7950">
            <v>0</v>
          </cell>
        </row>
        <row r="7951">
          <cell r="A7951">
            <v>0</v>
          </cell>
          <cell r="K7951">
            <v>0</v>
          </cell>
        </row>
        <row r="7952">
          <cell r="A7952">
            <v>0</v>
          </cell>
          <cell r="K7952">
            <v>0</v>
          </cell>
        </row>
        <row r="7953">
          <cell r="A7953">
            <v>0</v>
          </cell>
          <cell r="K7953">
            <v>0</v>
          </cell>
        </row>
        <row r="7954">
          <cell r="A7954">
            <v>0</v>
          </cell>
          <cell r="K7954">
            <v>0</v>
          </cell>
        </row>
        <row r="7955">
          <cell r="A7955">
            <v>0</v>
          </cell>
          <cell r="K7955">
            <v>0</v>
          </cell>
        </row>
        <row r="7956">
          <cell r="A7956">
            <v>0</v>
          </cell>
          <cell r="K7956">
            <v>0</v>
          </cell>
        </row>
        <row r="7957">
          <cell r="A7957">
            <v>0</v>
          </cell>
          <cell r="K7957">
            <v>0</v>
          </cell>
        </row>
        <row r="7958">
          <cell r="A7958">
            <v>0</v>
          </cell>
          <cell r="K7958">
            <v>0</v>
          </cell>
        </row>
        <row r="7959">
          <cell r="A7959">
            <v>0</v>
          </cell>
          <cell r="K7959">
            <v>0</v>
          </cell>
        </row>
        <row r="7960">
          <cell r="A7960">
            <v>0</v>
          </cell>
          <cell r="K7960">
            <v>0</v>
          </cell>
        </row>
        <row r="7961">
          <cell r="A7961">
            <v>0</v>
          </cell>
          <cell r="K7961">
            <v>0</v>
          </cell>
        </row>
        <row r="7962">
          <cell r="A7962">
            <v>0</v>
          </cell>
          <cell r="K7962">
            <v>0</v>
          </cell>
        </row>
        <row r="7963">
          <cell r="A7963">
            <v>0</v>
          </cell>
          <cell r="K7963">
            <v>0</v>
          </cell>
        </row>
        <row r="7964">
          <cell r="A7964">
            <v>0</v>
          </cell>
          <cell r="K7964">
            <v>0</v>
          </cell>
        </row>
        <row r="7965">
          <cell r="A7965">
            <v>0</v>
          </cell>
          <cell r="K7965">
            <v>0</v>
          </cell>
        </row>
        <row r="7966">
          <cell r="A7966">
            <v>0</v>
          </cell>
          <cell r="K7966">
            <v>0</v>
          </cell>
        </row>
        <row r="7967">
          <cell r="A7967">
            <v>0</v>
          </cell>
          <cell r="K7967">
            <v>0</v>
          </cell>
        </row>
        <row r="7968">
          <cell r="A7968">
            <v>0</v>
          </cell>
          <cell r="K7968">
            <v>0</v>
          </cell>
        </row>
        <row r="7969">
          <cell r="A7969">
            <v>0</v>
          </cell>
          <cell r="K7969">
            <v>0</v>
          </cell>
        </row>
        <row r="7970">
          <cell r="A7970">
            <v>0</v>
          </cell>
          <cell r="K7970">
            <v>0</v>
          </cell>
        </row>
        <row r="7971">
          <cell r="A7971">
            <v>0</v>
          </cell>
          <cell r="K7971">
            <v>0</v>
          </cell>
        </row>
        <row r="7972">
          <cell r="A7972">
            <v>0</v>
          </cell>
          <cell r="K7972">
            <v>0</v>
          </cell>
        </row>
        <row r="7973">
          <cell r="A7973">
            <v>0</v>
          </cell>
          <cell r="K7973">
            <v>0</v>
          </cell>
        </row>
        <row r="7974">
          <cell r="A7974">
            <v>0</v>
          </cell>
          <cell r="K7974">
            <v>0</v>
          </cell>
        </row>
        <row r="7975">
          <cell r="A7975">
            <v>0</v>
          </cell>
          <cell r="K7975">
            <v>0</v>
          </cell>
        </row>
        <row r="7976">
          <cell r="A7976">
            <v>0</v>
          </cell>
          <cell r="K7976">
            <v>0</v>
          </cell>
        </row>
        <row r="7977">
          <cell r="A7977">
            <v>0</v>
          </cell>
          <cell r="K7977">
            <v>0</v>
          </cell>
        </row>
        <row r="7978">
          <cell r="A7978">
            <v>0</v>
          </cell>
          <cell r="K7978">
            <v>0</v>
          </cell>
        </row>
        <row r="7979">
          <cell r="A7979">
            <v>0</v>
          </cell>
          <cell r="K7979">
            <v>0</v>
          </cell>
        </row>
        <row r="7980">
          <cell r="A7980">
            <v>0</v>
          </cell>
          <cell r="K7980">
            <v>0</v>
          </cell>
        </row>
        <row r="7981">
          <cell r="A7981">
            <v>0</v>
          </cell>
          <cell r="K7981">
            <v>0</v>
          </cell>
        </row>
        <row r="7982">
          <cell r="A7982">
            <v>0</v>
          </cell>
          <cell r="K7982">
            <v>0</v>
          </cell>
        </row>
        <row r="7983">
          <cell r="A7983">
            <v>0</v>
          </cell>
          <cell r="K7983">
            <v>0</v>
          </cell>
        </row>
        <row r="7984">
          <cell r="A7984">
            <v>0</v>
          </cell>
          <cell r="K7984">
            <v>0</v>
          </cell>
        </row>
        <row r="7985">
          <cell r="A7985">
            <v>0</v>
          </cell>
          <cell r="K7985">
            <v>0</v>
          </cell>
        </row>
        <row r="7986">
          <cell r="A7986">
            <v>0</v>
          </cell>
          <cell r="K7986">
            <v>0</v>
          </cell>
        </row>
        <row r="7987">
          <cell r="A7987">
            <v>0</v>
          </cell>
          <cell r="K7987">
            <v>0</v>
          </cell>
        </row>
        <row r="7988">
          <cell r="A7988">
            <v>0</v>
          </cell>
          <cell r="K7988">
            <v>0</v>
          </cell>
        </row>
        <row r="7989">
          <cell r="A7989">
            <v>0</v>
          </cell>
          <cell r="K7989">
            <v>0</v>
          </cell>
        </row>
        <row r="7990">
          <cell r="A7990">
            <v>0</v>
          </cell>
          <cell r="K7990">
            <v>0</v>
          </cell>
        </row>
        <row r="7991">
          <cell r="A7991">
            <v>0</v>
          </cell>
          <cell r="K7991">
            <v>0</v>
          </cell>
        </row>
        <row r="7992">
          <cell r="A7992">
            <v>0</v>
          </cell>
          <cell r="K7992">
            <v>0</v>
          </cell>
        </row>
        <row r="7993">
          <cell r="A7993">
            <v>0</v>
          </cell>
          <cell r="K7993">
            <v>0</v>
          </cell>
        </row>
        <row r="7994">
          <cell r="A7994">
            <v>0</v>
          </cell>
          <cell r="K7994">
            <v>0</v>
          </cell>
        </row>
        <row r="7995">
          <cell r="A7995">
            <v>0</v>
          </cell>
          <cell r="K7995">
            <v>0</v>
          </cell>
        </row>
        <row r="7996">
          <cell r="A7996">
            <v>0</v>
          </cell>
          <cell r="K7996">
            <v>0</v>
          </cell>
        </row>
        <row r="7997">
          <cell r="A7997">
            <v>0</v>
          </cell>
          <cell r="K7997">
            <v>0</v>
          </cell>
        </row>
        <row r="7998">
          <cell r="A7998">
            <v>0</v>
          </cell>
          <cell r="K7998">
            <v>0</v>
          </cell>
        </row>
        <row r="7999">
          <cell r="A7999">
            <v>0</v>
          </cell>
          <cell r="K7999">
            <v>0</v>
          </cell>
        </row>
        <row r="8000">
          <cell r="A8000">
            <v>0</v>
          </cell>
          <cell r="K8000">
            <v>0</v>
          </cell>
        </row>
        <row r="8001">
          <cell r="A8001">
            <v>0</v>
          </cell>
          <cell r="K8001">
            <v>0</v>
          </cell>
        </row>
        <row r="8002">
          <cell r="A8002">
            <v>0</v>
          </cell>
          <cell r="K8002">
            <v>0</v>
          </cell>
        </row>
        <row r="8003">
          <cell r="A8003">
            <v>0</v>
          </cell>
          <cell r="K8003">
            <v>0</v>
          </cell>
        </row>
        <row r="8004">
          <cell r="A8004">
            <v>0</v>
          </cell>
          <cell r="K8004">
            <v>0</v>
          </cell>
        </row>
        <row r="8005">
          <cell r="A8005">
            <v>0</v>
          </cell>
          <cell r="K8005">
            <v>0</v>
          </cell>
        </row>
        <row r="8006">
          <cell r="A8006">
            <v>0</v>
          </cell>
          <cell r="K8006">
            <v>0</v>
          </cell>
        </row>
        <row r="8007">
          <cell r="A8007">
            <v>0</v>
          </cell>
          <cell r="K8007">
            <v>0</v>
          </cell>
        </row>
        <row r="8008">
          <cell r="A8008">
            <v>0</v>
          </cell>
          <cell r="K8008">
            <v>0</v>
          </cell>
        </row>
        <row r="8009">
          <cell r="A8009">
            <v>0</v>
          </cell>
          <cell r="K8009">
            <v>0</v>
          </cell>
        </row>
        <row r="8010">
          <cell r="A8010">
            <v>0</v>
          </cell>
          <cell r="K8010">
            <v>0</v>
          </cell>
        </row>
        <row r="8011">
          <cell r="A8011">
            <v>0</v>
          </cell>
          <cell r="K8011">
            <v>0</v>
          </cell>
        </row>
        <row r="8012">
          <cell r="A8012">
            <v>0</v>
          </cell>
          <cell r="K8012">
            <v>0</v>
          </cell>
        </row>
        <row r="8013">
          <cell r="A8013">
            <v>0</v>
          </cell>
          <cell r="K8013">
            <v>0</v>
          </cell>
        </row>
        <row r="8014">
          <cell r="A8014">
            <v>0</v>
          </cell>
          <cell r="K8014">
            <v>0</v>
          </cell>
        </row>
        <row r="8015">
          <cell r="A8015">
            <v>0</v>
          </cell>
          <cell r="K8015">
            <v>0</v>
          </cell>
        </row>
        <row r="8016">
          <cell r="A8016">
            <v>0</v>
          </cell>
          <cell r="K8016">
            <v>0</v>
          </cell>
        </row>
        <row r="8017">
          <cell r="A8017">
            <v>0</v>
          </cell>
          <cell r="K8017">
            <v>0</v>
          </cell>
        </row>
        <row r="8018">
          <cell r="A8018">
            <v>0</v>
          </cell>
          <cell r="K8018">
            <v>0</v>
          </cell>
        </row>
        <row r="8019">
          <cell r="A8019">
            <v>0</v>
          </cell>
          <cell r="K8019">
            <v>0</v>
          </cell>
        </row>
        <row r="8020">
          <cell r="A8020">
            <v>0</v>
          </cell>
          <cell r="K8020">
            <v>0</v>
          </cell>
        </row>
        <row r="8021">
          <cell r="A8021">
            <v>0</v>
          </cell>
          <cell r="K8021">
            <v>0</v>
          </cell>
        </row>
        <row r="8022">
          <cell r="A8022">
            <v>0</v>
          </cell>
          <cell r="K8022">
            <v>0</v>
          </cell>
        </row>
        <row r="8023">
          <cell r="A8023">
            <v>0</v>
          </cell>
          <cell r="K8023">
            <v>0</v>
          </cell>
        </row>
        <row r="8024">
          <cell r="A8024">
            <v>0</v>
          </cell>
          <cell r="K8024">
            <v>0</v>
          </cell>
        </row>
        <row r="8025">
          <cell r="A8025">
            <v>0</v>
          </cell>
          <cell r="K8025">
            <v>0</v>
          </cell>
        </row>
        <row r="8026">
          <cell r="A8026">
            <v>0</v>
          </cell>
          <cell r="K8026">
            <v>0</v>
          </cell>
        </row>
        <row r="8027">
          <cell r="A8027">
            <v>0</v>
          </cell>
          <cell r="K8027">
            <v>0</v>
          </cell>
        </row>
        <row r="8028">
          <cell r="A8028">
            <v>0</v>
          </cell>
          <cell r="K8028">
            <v>0</v>
          </cell>
        </row>
        <row r="8029">
          <cell r="A8029">
            <v>0</v>
          </cell>
          <cell r="K8029">
            <v>0</v>
          </cell>
        </row>
        <row r="8030">
          <cell r="A8030">
            <v>0</v>
          </cell>
          <cell r="K8030">
            <v>0</v>
          </cell>
        </row>
        <row r="8031">
          <cell r="A8031">
            <v>0</v>
          </cell>
          <cell r="K8031">
            <v>0</v>
          </cell>
        </row>
        <row r="8032">
          <cell r="A8032">
            <v>0</v>
          </cell>
          <cell r="K8032">
            <v>0</v>
          </cell>
        </row>
        <row r="8033">
          <cell r="A8033">
            <v>0</v>
          </cell>
          <cell r="K8033">
            <v>0</v>
          </cell>
        </row>
        <row r="8034">
          <cell r="A8034">
            <v>0</v>
          </cell>
          <cell r="K8034">
            <v>0</v>
          </cell>
        </row>
        <row r="8035">
          <cell r="A8035">
            <v>0</v>
          </cell>
          <cell r="K8035">
            <v>0</v>
          </cell>
        </row>
        <row r="8036">
          <cell r="A8036">
            <v>0</v>
          </cell>
          <cell r="K8036">
            <v>0</v>
          </cell>
        </row>
        <row r="8037">
          <cell r="A8037">
            <v>0</v>
          </cell>
          <cell r="K8037">
            <v>0</v>
          </cell>
        </row>
        <row r="8038">
          <cell r="A8038">
            <v>0</v>
          </cell>
          <cell r="K8038">
            <v>0</v>
          </cell>
        </row>
        <row r="8039">
          <cell r="A8039">
            <v>0</v>
          </cell>
          <cell r="K8039">
            <v>0</v>
          </cell>
        </row>
        <row r="8040">
          <cell r="A8040">
            <v>0</v>
          </cell>
          <cell r="K8040">
            <v>0</v>
          </cell>
        </row>
        <row r="8041">
          <cell r="A8041">
            <v>0</v>
          </cell>
          <cell r="K8041">
            <v>0</v>
          </cell>
        </row>
        <row r="8042">
          <cell r="A8042">
            <v>0</v>
          </cell>
          <cell r="K8042">
            <v>0</v>
          </cell>
        </row>
        <row r="8043">
          <cell r="A8043">
            <v>0</v>
          </cell>
          <cell r="K8043">
            <v>0</v>
          </cell>
        </row>
        <row r="8044">
          <cell r="A8044">
            <v>0</v>
          </cell>
          <cell r="K8044">
            <v>0</v>
          </cell>
        </row>
        <row r="8045">
          <cell r="A8045">
            <v>0</v>
          </cell>
          <cell r="K8045">
            <v>0</v>
          </cell>
        </row>
        <row r="8046">
          <cell r="A8046">
            <v>0</v>
          </cell>
          <cell r="K8046">
            <v>0</v>
          </cell>
        </row>
        <row r="8047">
          <cell r="A8047">
            <v>0</v>
          </cell>
          <cell r="K8047">
            <v>0</v>
          </cell>
        </row>
        <row r="8048">
          <cell r="A8048">
            <v>0</v>
          </cell>
          <cell r="K8048">
            <v>0</v>
          </cell>
        </row>
        <row r="8049">
          <cell r="A8049">
            <v>0</v>
          </cell>
          <cell r="K8049">
            <v>0</v>
          </cell>
        </row>
        <row r="8050">
          <cell r="A8050">
            <v>0</v>
          </cell>
          <cell r="K8050">
            <v>0</v>
          </cell>
        </row>
        <row r="8051">
          <cell r="A8051">
            <v>0</v>
          </cell>
          <cell r="K8051">
            <v>0</v>
          </cell>
        </row>
        <row r="8052">
          <cell r="A8052">
            <v>0</v>
          </cell>
          <cell r="K8052">
            <v>0</v>
          </cell>
        </row>
        <row r="8053">
          <cell r="A8053">
            <v>0</v>
          </cell>
          <cell r="K8053">
            <v>0</v>
          </cell>
        </row>
        <row r="8054">
          <cell r="A8054">
            <v>0</v>
          </cell>
          <cell r="K8054">
            <v>0</v>
          </cell>
        </row>
        <row r="8055">
          <cell r="A8055">
            <v>0</v>
          </cell>
          <cell r="K8055">
            <v>0</v>
          </cell>
        </row>
        <row r="8056">
          <cell r="A8056">
            <v>0</v>
          </cell>
          <cell r="K8056">
            <v>0</v>
          </cell>
        </row>
        <row r="8057">
          <cell r="A8057">
            <v>0</v>
          </cell>
          <cell r="K8057">
            <v>0</v>
          </cell>
        </row>
        <row r="8058">
          <cell r="A8058">
            <v>0</v>
          </cell>
          <cell r="K8058">
            <v>0</v>
          </cell>
        </row>
        <row r="8059">
          <cell r="A8059">
            <v>0</v>
          </cell>
          <cell r="K8059">
            <v>0</v>
          </cell>
        </row>
        <row r="8060">
          <cell r="A8060">
            <v>0</v>
          </cell>
          <cell r="K8060">
            <v>0</v>
          </cell>
        </row>
        <row r="8061">
          <cell r="A8061">
            <v>0</v>
          </cell>
          <cell r="K8061">
            <v>0</v>
          </cell>
        </row>
        <row r="8062">
          <cell r="A8062">
            <v>0</v>
          </cell>
          <cell r="K8062">
            <v>0</v>
          </cell>
        </row>
        <row r="8063">
          <cell r="A8063">
            <v>0</v>
          </cell>
          <cell r="K8063">
            <v>0</v>
          </cell>
        </row>
        <row r="8064">
          <cell r="A8064">
            <v>0</v>
          </cell>
          <cell r="K8064">
            <v>0</v>
          </cell>
        </row>
        <row r="8065">
          <cell r="A8065">
            <v>0</v>
          </cell>
          <cell r="K8065">
            <v>0</v>
          </cell>
        </row>
        <row r="8066">
          <cell r="A8066">
            <v>0</v>
          </cell>
          <cell r="K8066">
            <v>0</v>
          </cell>
        </row>
        <row r="8067">
          <cell r="A8067">
            <v>0</v>
          </cell>
          <cell r="K8067">
            <v>0</v>
          </cell>
        </row>
        <row r="8068">
          <cell r="A8068">
            <v>0</v>
          </cell>
          <cell r="K8068">
            <v>0</v>
          </cell>
        </row>
        <row r="8069">
          <cell r="A8069">
            <v>0</v>
          </cell>
          <cell r="K8069">
            <v>0</v>
          </cell>
        </row>
        <row r="8070">
          <cell r="A8070">
            <v>0</v>
          </cell>
          <cell r="K8070">
            <v>0</v>
          </cell>
        </row>
        <row r="8071">
          <cell r="A8071">
            <v>0</v>
          </cell>
          <cell r="K8071">
            <v>0</v>
          </cell>
        </row>
        <row r="8072">
          <cell r="A8072">
            <v>0</v>
          </cell>
          <cell r="K8072">
            <v>0</v>
          </cell>
        </row>
        <row r="8073">
          <cell r="A8073">
            <v>0</v>
          </cell>
          <cell r="K8073">
            <v>0</v>
          </cell>
        </row>
        <row r="8074">
          <cell r="A8074">
            <v>0</v>
          </cell>
          <cell r="K8074">
            <v>0</v>
          </cell>
        </row>
        <row r="8075">
          <cell r="A8075">
            <v>0</v>
          </cell>
          <cell r="K8075">
            <v>0</v>
          </cell>
        </row>
        <row r="8076">
          <cell r="A8076">
            <v>0</v>
          </cell>
          <cell r="K8076">
            <v>0</v>
          </cell>
        </row>
        <row r="8077">
          <cell r="A8077">
            <v>0</v>
          </cell>
          <cell r="K8077">
            <v>0</v>
          </cell>
        </row>
        <row r="8078">
          <cell r="A8078">
            <v>0</v>
          </cell>
          <cell r="K8078">
            <v>0</v>
          </cell>
        </row>
        <row r="8079">
          <cell r="A8079">
            <v>0</v>
          </cell>
          <cell r="K8079">
            <v>0</v>
          </cell>
        </row>
        <row r="8080">
          <cell r="A8080">
            <v>0</v>
          </cell>
          <cell r="K8080">
            <v>0</v>
          </cell>
        </row>
        <row r="8081">
          <cell r="A8081">
            <v>0</v>
          </cell>
          <cell r="K8081">
            <v>0</v>
          </cell>
        </row>
        <row r="8082">
          <cell r="A8082">
            <v>0</v>
          </cell>
          <cell r="K8082">
            <v>0</v>
          </cell>
        </row>
        <row r="8083">
          <cell r="A8083">
            <v>0</v>
          </cell>
          <cell r="K8083">
            <v>0</v>
          </cell>
        </row>
        <row r="8084">
          <cell r="A8084">
            <v>0</v>
          </cell>
          <cell r="K8084">
            <v>0</v>
          </cell>
        </row>
        <row r="8085">
          <cell r="A8085">
            <v>0</v>
          </cell>
          <cell r="K8085">
            <v>0</v>
          </cell>
        </row>
        <row r="8086">
          <cell r="A8086">
            <v>0</v>
          </cell>
          <cell r="K8086">
            <v>0</v>
          </cell>
        </row>
        <row r="8087">
          <cell r="A8087">
            <v>0</v>
          </cell>
          <cell r="K8087">
            <v>0</v>
          </cell>
        </row>
        <row r="8088">
          <cell r="A8088">
            <v>0</v>
          </cell>
          <cell r="K8088">
            <v>0</v>
          </cell>
        </row>
        <row r="8089">
          <cell r="A8089">
            <v>0</v>
          </cell>
          <cell r="K8089">
            <v>0</v>
          </cell>
        </row>
        <row r="8090">
          <cell r="A8090">
            <v>0</v>
          </cell>
          <cell r="K8090">
            <v>0</v>
          </cell>
        </row>
        <row r="8091">
          <cell r="A8091">
            <v>0</v>
          </cell>
          <cell r="K8091">
            <v>0</v>
          </cell>
        </row>
        <row r="8092">
          <cell r="A8092">
            <v>0</v>
          </cell>
          <cell r="K8092">
            <v>0</v>
          </cell>
        </row>
        <row r="8093">
          <cell r="A8093">
            <v>0</v>
          </cell>
          <cell r="K8093">
            <v>0</v>
          </cell>
        </row>
        <row r="8094">
          <cell r="A8094">
            <v>0</v>
          </cell>
          <cell r="K8094">
            <v>0</v>
          </cell>
        </row>
        <row r="8095">
          <cell r="A8095">
            <v>0</v>
          </cell>
          <cell r="K8095">
            <v>0</v>
          </cell>
        </row>
        <row r="8096">
          <cell r="A8096">
            <v>0</v>
          </cell>
          <cell r="K8096">
            <v>0</v>
          </cell>
        </row>
        <row r="8097">
          <cell r="A8097">
            <v>0</v>
          </cell>
          <cell r="K8097">
            <v>0</v>
          </cell>
        </row>
        <row r="8098">
          <cell r="A8098">
            <v>0</v>
          </cell>
          <cell r="K8098">
            <v>0</v>
          </cell>
        </row>
        <row r="8099">
          <cell r="A8099">
            <v>0</v>
          </cell>
          <cell r="K8099">
            <v>0</v>
          </cell>
        </row>
        <row r="8100">
          <cell r="A8100">
            <v>0</v>
          </cell>
          <cell r="K8100">
            <v>0</v>
          </cell>
        </row>
        <row r="8101">
          <cell r="A8101">
            <v>0</v>
          </cell>
          <cell r="K8101">
            <v>0</v>
          </cell>
        </row>
        <row r="8102">
          <cell r="A8102">
            <v>0</v>
          </cell>
          <cell r="K8102">
            <v>0</v>
          </cell>
        </row>
        <row r="8103">
          <cell r="A8103">
            <v>0</v>
          </cell>
          <cell r="K8103">
            <v>0</v>
          </cell>
        </row>
        <row r="8104">
          <cell r="A8104">
            <v>0</v>
          </cell>
          <cell r="K8104">
            <v>0</v>
          </cell>
        </row>
        <row r="8105">
          <cell r="A8105">
            <v>0</v>
          </cell>
          <cell r="K8105">
            <v>0</v>
          </cell>
        </row>
        <row r="8106">
          <cell r="A8106">
            <v>0</v>
          </cell>
          <cell r="K8106">
            <v>0</v>
          </cell>
        </row>
        <row r="8107">
          <cell r="A8107">
            <v>0</v>
          </cell>
          <cell r="K8107">
            <v>0</v>
          </cell>
        </row>
        <row r="8108">
          <cell r="A8108">
            <v>0</v>
          </cell>
          <cell r="K8108">
            <v>0</v>
          </cell>
        </row>
        <row r="8109">
          <cell r="A8109">
            <v>0</v>
          </cell>
          <cell r="K8109">
            <v>0</v>
          </cell>
        </row>
        <row r="8110">
          <cell r="A8110">
            <v>0</v>
          </cell>
          <cell r="K8110">
            <v>0</v>
          </cell>
        </row>
        <row r="8111">
          <cell r="A8111">
            <v>0</v>
          </cell>
          <cell r="K8111">
            <v>0</v>
          </cell>
        </row>
        <row r="8112">
          <cell r="A8112">
            <v>0</v>
          </cell>
          <cell r="K8112">
            <v>0</v>
          </cell>
        </row>
        <row r="8113">
          <cell r="A8113">
            <v>0</v>
          </cell>
          <cell r="K8113">
            <v>0</v>
          </cell>
        </row>
        <row r="8114">
          <cell r="A8114">
            <v>0</v>
          </cell>
          <cell r="K8114">
            <v>0</v>
          </cell>
        </row>
        <row r="8115">
          <cell r="A8115">
            <v>0</v>
          </cell>
          <cell r="K8115">
            <v>0</v>
          </cell>
        </row>
        <row r="8116">
          <cell r="A8116">
            <v>0</v>
          </cell>
          <cell r="K8116">
            <v>0</v>
          </cell>
        </row>
        <row r="8117">
          <cell r="A8117">
            <v>0</v>
          </cell>
          <cell r="K8117">
            <v>0</v>
          </cell>
        </row>
        <row r="8118">
          <cell r="A8118">
            <v>0</v>
          </cell>
          <cell r="K8118">
            <v>0</v>
          </cell>
        </row>
        <row r="8119">
          <cell r="A8119">
            <v>0</v>
          </cell>
          <cell r="K8119">
            <v>0</v>
          </cell>
        </row>
        <row r="8120">
          <cell r="A8120">
            <v>0</v>
          </cell>
          <cell r="K8120">
            <v>0</v>
          </cell>
        </row>
        <row r="8121">
          <cell r="A8121">
            <v>0</v>
          </cell>
          <cell r="K8121">
            <v>0</v>
          </cell>
        </row>
        <row r="8122">
          <cell r="A8122">
            <v>0</v>
          </cell>
          <cell r="K8122">
            <v>0</v>
          </cell>
        </row>
        <row r="8123">
          <cell r="A8123">
            <v>0</v>
          </cell>
          <cell r="K8123">
            <v>0</v>
          </cell>
        </row>
        <row r="8124">
          <cell r="A8124">
            <v>0</v>
          </cell>
          <cell r="K8124">
            <v>0</v>
          </cell>
        </row>
        <row r="8125">
          <cell r="A8125">
            <v>0</v>
          </cell>
          <cell r="K8125">
            <v>0</v>
          </cell>
        </row>
        <row r="8126">
          <cell r="A8126">
            <v>0</v>
          </cell>
          <cell r="K8126">
            <v>0</v>
          </cell>
        </row>
        <row r="8127">
          <cell r="A8127">
            <v>0</v>
          </cell>
          <cell r="K8127">
            <v>0</v>
          </cell>
        </row>
        <row r="8128">
          <cell r="A8128">
            <v>0</v>
          </cell>
          <cell r="K8128">
            <v>0</v>
          </cell>
        </row>
        <row r="8129">
          <cell r="A8129">
            <v>0</v>
          </cell>
          <cell r="K8129">
            <v>0</v>
          </cell>
        </row>
        <row r="8130">
          <cell r="A8130">
            <v>0</v>
          </cell>
          <cell r="K8130">
            <v>0</v>
          </cell>
        </row>
        <row r="8131">
          <cell r="A8131">
            <v>0</v>
          </cell>
          <cell r="K8131">
            <v>0</v>
          </cell>
        </row>
        <row r="8132">
          <cell r="A8132">
            <v>0</v>
          </cell>
          <cell r="K8132">
            <v>0</v>
          </cell>
        </row>
        <row r="8133">
          <cell r="A8133">
            <v>0</v>
          </cell>
          <cell r="K8133">
            <v>0</v>
          </cell>
        </row>
        <row r="8134">
          <cell r="A8134">
            <v>0</v>
          </cell>
          <cell r="K8134">
            <v>0</v>
          </cell>
        </row>
        <row r="8135">
          <cell r="A8135">
            <v>0</v>
          </cell>
          <cell r="K8135">
            <v>0</v>
          </cell>
        </row>
        <row r="8136">
          <cell r="A8136">
            <v>0</v>
          </cell>
          <cell r="K8136">
            <v>0</v>
          </cell>
        </row>
        <row r="8137">
          <cell r="A8137">
            <v>0</v>
          </cell>
          <cell r="K8137">
            <v>0</v>
          </cell>
        </row>
        <row r="8138">
          <cell r="A8138">
            <v>0</v>
          </cell>
          <cell r="K8138">
            <v>0</v>
          </cell>
        </row>
        <row r="8139">
          <cell r="A8139">
            <v>0</v>
          </cell>
          <cell r="K8139">
            <v>0</v>
          </cell>
        </row>
        <row r="8140">
          <cell r="A8140">
            <v>0</v>
          </cell>
          <cell r="K8140">
            <v>0</v>
          </cell>
        </row>
        <row r="8141">
          <cell r="A8141">
            <v>0</v>
          </cell>
          <cell r="K8141">
            <v>0</v>
          </cell>
        </row>
        <row r="8142">
          <cell r="A8142">
            <v>0</v>
          </cell>
          <cell r="K8142">
            <v>0</v>
          </cell>
        </row>
        <row r="8143">
          <cell r="A8143">
            <v>0</v>
          </cell>
          <cell r="K8143">
            <v>0</v>
          </cell>
        </row>
      </sheetData>
      <sheetData sheetId="3"/>
      <sheetData sheetId="4">
        <row r="1">
          <cell r="K1">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opLeftCell="B1" zoomScaleNormal="100" workbookViewId="0">
      <selection activeCell="B1" sqref="A1:XFD1048576"/>
    </sheetView>
  </sheetViews>
  <sheetFormatPr baseColWidth="10" defaultRowHeight="13"/>
  <cols>
    <col min="1" max="1" width="4" hidden="1" customWidth="1"/>
    <col min="2" max="2" width="23" customWidth="1"/>
    <col min="3" max="3" width="15.69921875" customWidth="1"/>
    <col min="4" max="4" width="19.09765625" customWidth="1"/>
    <col min="5" max="5" width="5.69921875" hidden="1" customWidth="1"/>
    <col min="6" max="6" width="14.09765625" hidden="1" customWidth="1"/>
    <col min="7" max="7" width="14.69921875" customWidth="1"/>
    <col min="8" max="8" width="15.3984375" customWidth="1"/>
    <col min="9" max="9" width="14.3984375" customWidth="1"/>
  </cols>
  <sheetData>
    <row r="1" spans="1:10">
      <c r="A1" s="380"/>
      <c r="B1" s="367" t="s">
        <v>236</v>
      </c>
      <c r="C1" s="368"/>
      <c r="D1" s="107"/>
      <c r="E1" s="377" t="s">
        <v>1</v>
      </c>
      <c r="F1" s="108"/>
      <c r="G1" s="262"/>
      <c r="H1" s="262"/>
      <c r="I1" s="263"/>
      <c r="J1" s="264"/>
    </row>
    <row r="2" spans="1:10">
      <c r="A2" s="381"/>
      <c r="B2" s="369"/>
      <c r="C2" s="370"/>
      <c r="D2" s="109"/>
      <c r="E2" s="378"/>
      <c r="F2" s="110"/>
      <c r="G2" s="265" t="s">
        <v>2</v>
      </c>
      <c r="H2" s="265" t="s">
        <v>2</v>
      </c>
      <c r="I2" s="265" t="s">
        <v>84</v>
      </c>
      <c r="J2" s="266" t="s">
        <v>91</v>
      </c>
    </row>
    <row r="3" spans="1:10">
      <c r="A3" s="381"/>
      <c r="B3" s="369"/>
      <c r="C3" s="370"/>
      <c r="D3" s="109"/>
      <c r="E3" s="379"/>
      <c r="F3" s="111" t="s">
        <v>85</v>
      </c>
      <c r="G3" s="267" t="s">
        <v>88</v>
      </c>
      <c r="H3" s="267" t="s">
        <v>87</v>
      </c>
      <c r="I3" s="268" t="s">
        <v>89</v>
      </c>
      <c r="J3" s="269" t="s">
        <v>92</v>
      </c>
    </row>
    <row r="4" spans="1:10">
      <c r="A4" s="112"/>
      <c r="B4" s="113" t="s">
        <v>237</v>
      </c>
      <c r="C4" s="114"/>
      <c r="D4" s="115"/>
      <c r="E4" s="116">
        <v>3</v>
      </c>
      <c r="F4" s="117">
        <f>SUM(F5:F8)</f>
        <v>0</v>
      </c>
      <c r="G4" s="117">
        <f>SUM(G5:G8)</f>
        <v>0</v>
      </c>
      <c r="H4" s="117">
        <f>SUM(H5:H8)</f>
        <v>0</v>
      </c>
      <c r="I4" s="216">
        <f>SUM(I5:I8)</f>
        <v>0</v>
      </c>
      <c r="J4" s="261" t="e">
        <f>(G4-H4)/H4</f>
        <v>#DIV/0!</v>
      </c>
    </row>
    <row r="5" spans="1:10">
      <c r="A5" s="212"/>
      <c r="B5" s="120" t="s">
        <v>238</v>
      </c>
      <c r="C5" s="118"/>
      <c r="D5" s="119"/>
      <c r="E5" s="120"/>
      <c r="F5" s="121">
        <v>0</v>
      </c>
      <c r="G5" s="121">
        <v>0</v>
      </c>
      <c r="H5" s="121">
        <v>0</v>
      </c>
      <c r="I5" s="217">
        <v>0</v>
      </c>
      <c r="J5" s="261" t="e">
        <f t="shared" ref="J5:J34" si="0">(G5-H5)/H5</f>
        <v>#DIV/0!</v>
      </c>
    </row>
    <row r="6" spans="1:10">
      <c r="A6" s="122"/>
      <c r="B6" s="123" t="s">
        <v>239</v>
      </c>
      <c r="C6" s="124"/>
      <c r="D6" s="125"/>
      <c r="E6" s="126"/>
      <c r="F6" s="127">
        <v>0</v>
      </c>
      <c r="G6" s="127">
        <v>0</v>
      </c>
      <c r="H6" s="127">
        <v>0</v>
      </c>
      <c r="I6" s="218">
        <v>0</v>
      </c>
      <c r="J6" s="261" t="e">
        <f t="shared" si="0"/>
        <v>#DIV/0!</v>
      </c>
    </row>
    <row r="7" spans="1:10">
      <c r="A7" s="122"/>
      <c r="B7" s="123" t="s">
        <v>240</v>
      </c>
      <c r="C7" s="124"/>
      <c r="D7" s="125"/>
      <c r="E7" s="126"/>
      <c r="F7" s="127">
        <v>0</v>
      </c>
      <c r="G7" s="127">
        <v>0</v>
      </c>
      <c r="H7" s="127">
        <v>0</v>
      </c>
      <c r="I7" s="218">
        <v>0</v>
      </c>
      <c r="J7" s="261" t="e">
        <f t="shared" si="0"/>
        <v>#DIV/0!</v>
      </c>
    </row>
    <row r="8" spans="1:10">
      <c r="A8" s="128"/>
      <c r="B8" s="129" t="s">
        <v>241</v>
      </c>
      <c r="C8" s="130"/>
      <c r="D8" s="131"/>
      <c r="E8" s="132"/>
      <c r="F8" s="133">
        <v>0</v>
      </c>
      <c r="G8" s="133">
        <v>0</v>
      </c>
      <c r="H8" s="134">
        <v>0</v>
      </c>
      <c r="I8" s="219">
        <v>0</v>
      </c>
      <c r="J8" s="261" t="e">
        <f t="shared" si="0"/>
        <v>#DIV/0!</v>
      </c>
    </row>
    <row r="9" spans="1:10">
      <c r="A9" s="135"/>
      <c r="B9" s="136" t="s">
        <v>242</v>
      </c>
      <c r="C9" s="137"/>
      <c r="D9" s="138"/>
      <c r="E9" s="139">
        <v>3</v>
      </c>
      <c r="F9" s="117">
        <f>SUM(F10:F16)</f>
        <v>72585000</v>
      </c>
      <c r="G9" s="117">
        <f>SUM(G10:G16)</f>
        <v>2125000</v>
      </c>
      <c r="H9" s="117">
        <f>SUM(H10:H16)</f>
        <v>2815000</v>
      </c>
      <c r="I9" s="216">
        <f>SUM(I10:I16)</f>
        <v>7225000</v>
      </c>
      <c r="J9" s="261">
        <f t="shared" si="0"/>
        <v>-0.24511545293072823</v>
      </c>
    </row>
    <row r="10" spans="1:10">
      <c r="A10" s="122"/>
      <c r="B10" s="140" t="s">
        <v>243</v>
      </c>
      <c r="C10" s="141"/>
      <c r="D10" s="142"/>
      <c r="E10" s="143"/>
      <c r="F10" s="144">
        <v>15000000</v>
      </c>
      <c r="G10" s="144">
        <v>0</v>
      </c>
      <c r="H10" s="145">
        <v>0</v>
      </c>
      <c r="I10" s="220">
        <v>0</v>
      </c>
      <c r="J10" s="261" t="e">
        <f t="shared" si="0"/>
        <v>#DIV/0!</v>
      </c>
    </row>
    <row r="11" spans="1:10" ht="25.5">
      <c r="A11" s="122"/>
      <c r="B11" s="146" t="s">
        <v>244</v>
      </c>
      <c r="C11" s="147"/>
      <c r="D11" s="148"/>
      <c r="E11" s="126"/>
      <c r="F11" s="149"/>
      <c r="G11" s="149">
        <v>0</v>
      </c>
      <c r="H11" s="150">
        <v>0</v>
      </c>
      <c r="I11" s="221">
        <v>0</v>
      </c>
      <c r="J11" s="261" t="e">
        <f t="shared" si="0"/>
        <v>#DIV/0!</v>
      </c>
    </row>
    <row r="12" spans="1:10">
      <c r="A12" s="122"/>
      <c r="B12" s="151" t="s">
        <v>245</v>
      </c>
      <c r="C12" s="152"/>
      <c r="D12" s="153"/>
      <c r="E12" s="126"/>
      <c r="F12" s="154">
        <v>25000000</v>
      </c>
      <c r="G12" s="154">
        <v>0</v>
      </c>
      <c r="H12" s="155">
        <v>0</v>
      </c>
      <c r="I12" s="222">
        <v>0</v>
      </c>
      <c r="J12" s="261" t="e">
        <f t="shared" si="0"/>
        <v>#DIV/0!</v>
      </c>
    </row>
    <row r="13" spans="1:10">
      <c r="A13" s="122"/>
      <c r="B13" s="151" t="s">
        <v>246</v>
      </c>
      <c r="C13" s="147"/>
      <c r="D13" s="156"/>
      <c r="E13" s="126"/>
      <c r="F13" s="149"/>
      <c r="G13" s="149">
        <v>0</v>
      </c>
      <c r="H13" s="150">
        <v>0</v>
      </c>
      <c r="I13" s="221">
        <v>0</v>
      </c>
      <c r="J13" s="261" t="e">
        <f t="shared" si="0"/>
        <v>#DIV/0!</v>
      </c>
    </row>
    <row r="14" spans="1:10">
      <c r="A14" s="122"/>
      <c r="B14" s="123" t="s">
        <v>247</v>
      </c>
      <c r="C14" s="124"/>
      <c r="D14" s="125"/>
      <c r="E14" s="126"/>
      <c r="F14" s="158">
        <v>0</v>
      </c>
      <c r="G14" s="158">
        <v>2125000</v>
      </c>
      <c r="H14" s="127">
        <v>2550000</v>
      </c>
      <c r="I14" s="223">
        <v>4825000</v>
      </c>
      <c r="J14" s="261">
        <f>(G14-H14)/H14</f>
        <v>-0.16666666666666666</v>
      </c>
    </row>
    <row r="15" spans="1:10">
      <c r="A15" s="122"/>
      <c r="B15" s="123" t="s">
        <v>248</v>
      </c>
      <c r="C15" s="124"/>
      <c r="D15" s="125"/>
      <c r="E15" s="126"/>
      <c r="F15" s="158">
        <v>2122500</v>
      </c>
      <c r="G15" s="158">
        <v>0</v>
      </c>
      <c r="H15" s="127">
        <v>265000</v>
      </c>
      <c r="I15" s="223">
        <v>2400000</v>
      </c>
      <c r="J15" s="261">
        <f t="shared" si="0"/>
        <v>-1</v>
      </c>
    </row>
    <row r="16" spans="1:10">
      <c r="A16" s="122"/>
      <c r="B16" s="159" t="s">
        <v>249</v>
      </c>
      <c r="C16" s="160"/>
      <c r="D16" s="161"/>
      <c r="E16" s="126"/>
      <c r="F16" s="154">
        <v>30462500</v>
      </c>
      <c r="G16" s="154">
        <v>0</v>
      </c>
      <c r="H16" s="155">
        <v>0</v>
      </c>
      <c r="I16" s="222">
        <v>0</v>
      </c>
      <c r="J16" s="261" t="e">
        <f t="shared" si="0"/>
        <v>#DIV/0!</v>
      </c>
    </row>
    <row r="17" spans="1:10">
      <c r="A17" s="162"/>
      <c r="B17" s="163" t="s">
        <v>250</v>
      </c>
      <c r="C17" s="164"/>
      <c r="D17" s="165"/>
      <c r="E17" s="166">
        <v>3</v>
      </c>
      <c r="F17" s="167">
        <v>0</v>
      </c>
      <c r="G17" s="167">
        <v>0</v>
      </c>
      <c r="H17" s="168">
        <v>0</v>
      </c>
      <c r="I17" s="224">
        <v>0</v>
      </c>
      <c r="J17" s="261" t="e">
        <f t="shared" si="0"/>
        <v>#DIV/0!</v>
      </c>
    </row>
    <row r="18" spans="1:10">
      <c r="A18" s="112"/>
      <c r="B18" s="136" t="s">
        <v>251</v>
      </c>
      <c r="C18" s="137"/>
      <c r="D18" s="138"/>
      <c r="E18" s="139">
        <v>4</v>
      </c>
      <c r="F18" s="117" t="e">
        <f>SUM(F19:F20)</f>
        <v>#VALUE!</v>
      </c>
      <c r="G18" s="117">
        <f>SUM(G19:G20)</f>
        <v>3000000</v>
      </c>
      <c r="H18" s="169">
        <f>SUM(H19:H20)</f>
        <v>3000000</v>
      </c>
      <c r="I18" s="216">
        <f>SUM(I19:I20)</f>
        <v>3000000</v>
      </c>
      <c r="J18" s="261">
        <f t="shared" si="0"/>
        <v>0</v>
      </c>
    </row>
    <row r="19" spans="1:10">
      <c r="A19" s="122"/>
      <c r="B19" s="170" t="s">
        <v>252</v>
      </c>
      <c r="C19" s="171"/>
      <c r="D19" s="172"/>
      <c r="E19" s="173"/>
      <c r="F19" s="174" t="e">
        <f>SUMIF('[1]BG N'!A:A,$A19,'[1]BG N'!K:K)</f>
        <v>#VALUE!</v>
      </c>
      <c r="G19" s="174">
        <v>0</v>
      </c>
      <c r="H19" s="175">
        <v>0</v>
      </c>
      <c r="I19" s="225">
        <v>0</v>
      </c>
      <c r="J19" s="261" t="e">
        <f t="shared" si="0"/>
        <v>#DIV/0!</v>
      </c>
    </row>
    <row r="20" spans="1:10">
      <c r="A20" s="122"/>
      <c r="B20" s="129" t="s">
        <v>253</v>
      </c>
      <c r="C20" s="130"/>
      <c r="D20" s="131"/>
      <c r="E20" s="132"/>
      <c r="F20" s="133" t="e">
        <f>SUMIF('[1]BG N'!A:A,$A20,'[1]BG N'!K:K)</f>
        <v>#VALUE!</v>
      </c>
      <c r="G20" s="133">
        <v>3000000</v>
      </c>
      <c r="H20" s="176">
        <v>3000000</v>
      </c>
      <c r="I20" s="219">
        <v>3000000</v>
      </c>
      <c r="J20" s="261">
        <f t="shared" si="0"/>
        <v>0</v>
      </c>
    </row>
    <row r="21" spans="1:10">
      <c r="A21" s="135"/>
      <c r="B21" s="136" t="s">
        <v>254</v>
      </c>
      <c r="C21" s="137"/>
      <c r="D21" s="138"/>
      <c r="E21" s="139"/>
      <c r="F21" s="117" t="e">
        <f>F4+F9+F17+F18</f>
        <v>#VALUE!</v>
      </c>
      <c r="G21" s="117">
        <f>G4+G9+G17+G18</f>
        <v>5125000</v>
      </c>
      <c r="H21" s="169">
        <f>H4+H9+H17+H18</f>
        <v>5815000</v>
      </c>
      <c r="I21" s="216">
        <f>I4+I9+I17+I18</f>
        <v>10225000</v>
      </c>
      <c r="J21" s="261">
        <f t="shared" si="0"/>
        <v>-0.11865864144453998</v>
      </c>
    </row>
    <row r="22" spans="1:10">
      <c r="A22" s="122"/>
      <c r="B22" s="177" t="s">
        <v>255</v>
      </c>
      <c r="C22" s="178"/>
      <c r="D22" s="179"/>
      <c r="E22" s="180">
        <v>5</v>
      </c>
      <c r="F22" s="181">
        <v>0</v>
      </c>
      <c r="G22" s="181">
        <v>0</v>
      </c>
      <c r="H22" s="182">
        <v>0</v>
      </c>
      <c r="I22" s="226">
        <v>0</v>
      </c>
      <c r="J22" s="261" t="e">
        <f t="shared" si="0"/>
        <v>#DIV/0!</v>
      </c>
    </row>
    <row r="23" spans="1:10">
      <c r="A23" s="122"/>
      <c r="B23" s="183" t="s">
        <v>256</v>
      </c>
      <c r="C23" s="184"/>
      <c r="D23" s="185"/>
      <c r="E23" s="126">
        <v>6</v>
      </c>
      <c r="F23" s="186">
        <v>91214255.800000012</v>
      </c>
      <c r="G23" s="186">
        <v>52315000</v>
      </c>
      <c r="H23" s="187">
        <v>44447550</v>
      </c>
      <c r="I23" s="227">
        <v>38654000</v>
      </c>
      <c r="J23" s="261">
        <f t="shared" si="0"/>
        <v>0.17700525675768405</v>
      </c>
    </row>
    <row r="24" spans="1:10">
      <c r="A24" s="122"/>
      <c r="B24" s="183" t="s">
        <v>257</v>
      </c>
      <c r="C24" s="184"/>
      <c r="D24" s="185"/>
      <c r="E24" s="188"/>
      <c r="F24" s="189">
        <f>SUM(F25:F27)</f>
        <v>160717899.28875157</v>
      </c>
      <c r="G24" s="117">
        <f>SUM(G25:G27)</f>
        <v>24245000</v>
      </c>
      <c r="H24" s="117">
        <f>SUM(H25:H27)</f>
        <v>21242051</v>
      </c>
      <c r="I24" s="117">
        <f>SUM(I25:I27)</f>
        <v>30739000</v>
      </c>
      <c r="J24" s="261">
        <f t="shared" si="0"/>
        <v>0.14136812871789076</v>
      </c>
    </row>
    <row r="25" spans="1:10">
      <c r="A25" s="122"/>
      <c r="B25" s="124" t="s">
        <v>258</v>
      </c>
      <c r="C25" s="190"/>
      <c r="D25" s="125"/>
      <c r="E25" s="126">
        <v>17</v>
      </c>
      <c r="F25" s="149">
        <v>0</v>
      </c>
      <c r="G25" s="149">
        <v>0</v>
      </c>
      <c r="H25" s="191">
        <v>0</v>
      </c>
      <c r="I25" s="221">
        <v>0</v>
      </c>
      <c r="J25" s="261" t="e">
        <f t="shared" si="0"/>
        <v>#DIV/0!</v>
      </c>
    </row>
    <row r="26" spans="1:10">
      <c r="A26" s="122"/>
      <c r="B26" s="124" t="s">
        <v>86</v>
      </c>
      <c r="C26" s="190"/>
      <c r="D26" s="125"/>
      <c r="E26" s="126">
        <v>7</v>
      </c>
      <c r="F26" s="158">
        <v>67603814</v>
      </c>
      <c r="G26" s="158">
        <v>24245000</v>
      </c>
      <c r="H26" s="192">
        <v>21242051</v>
      </c>
      <c r="I26" s="223">
        <v>30739000</v>
      </c>
      <c r="J26" s="261">
        <f t="shared" si="0"/>
        <v>0.14136812871789076</v>
      </c>
    </row>
    <row r="27" spans="1:10">
      <c r="A27" s="122"/>
      <c r="B27" s="130" t="s">
        <v>259</v>
      </c>
      <c r="C27" s="193"/>
      <c r="D27" s="131"/>
      <c r="E27" s="132">
        <v>8</v>
      </c>
      <c r="F27" s="194">
        <v>93114085.288751572</v>
      </c>
      <c r="G27" s="194">
        <v>0</v>
      </c>
      <c r="H27" s="195">
        <v>0</v>
      </c>
      <c r="I27" s="228">
        <v>0</v>
      </c>
      <c r="J27" s="261" t="e">
        <f t="shared" si="0"/>
        <v>#DIV/0!</v>
      </c>
    </row>
    <row r="28" spans="1:10">
      <c r="A28" s="135"/>
      <c r="B28" s="136" t="s">
        <v>260</v>
      </c>
      <c r="C28" s="137"/>
      <c r="D28" s="138"/>
      <c r="E28" s="139"/>
      <c r="F28" s="117">
        <f>F22+F23+F24</f>
        <v>251932155.08875158</v>
      </c>
      <c r="G28" s="117">
        <f>G22+G23+G24</f>
        <v>76560000</v>
      </c>
      <c r="H28" s="196">
        <f>H22+H23+H24</f>
        <v>65689601</v>
      </c>
      <c r="I28" s="216">
        <f>I22+I23+I24</f>
        <v>69393000</v>
      </c>
      <c r="J28" s="261">
        <f t="shared" si="0"/>
        <v>0.16548127610030697</v>
      </c>
    </row>
    <row r="29" spans="1:10">
      <c r="A29" s="122"/>
      <c r="B29" s="197" t="s">
        <v>261</v>
      </c>
      <c r="C29" s="198"/>
      <c r="D29" s="199"/>
      <c r="E29" s="200"/>
      <c r="F29" s="158">
        <v>0</v>
      </c>
      <c r="G29" s="158">
        <v>0</v>
      </c>
      <c r="H29" s="158">
        <v>0</v>
      </c>
      <c r="I29" s="223">
        <v>0</v>
      </c>
      <c r="J29" s="261" t="e">
        <f t="shared" si="0"/>
        <v>#DIV/0!</v>
      </c>
    </row>
    <row r="30" spans="1:10">
      <c r="A30" s="122"/>
      <c r="B30" s="197" t="s">
        <v>262</v>
      </c>
      <c r="C30" s="201"/>
      <c r="D30" s="199"/>
      <c r="E30" s="200"/>
      <c r="F30" s="158">
        <v>0</v>
      </c>
      <c r="G30" s="158">
        <v>0</v>
      </c>
      <c r="H30" s="158">
        <v>0</v>
      </c>
      <c r="I30" s="223">
        <v>0</v>
      </c>
      <c r="J30" s="261" t="e">
        <f t="shared" si="0"/>
        <v>#DIV/0!</v>
      </c>
    </row>
    <row r="31" spans="1:10">
      <c r="A31" s="122"/>
      <c r="B31" s="124" t="s">
        <v>263</v>
      </c>
      <c r="C31" s="190"/>
      <c r="D31" s="125"/>
      <c r="E31" s="126">
        <v>11</v>
      </c>
      <c r="F31" s="158">
        <v>52229246</v>
      </c>
      <c r="G31" s="158">
        <v>3254000</v>
      </c>
      <c r="H31" s="158">
        <v>5423000</v>
      </c>
      <c r="I31" s="223">
        <v>7235000</v>
      </c>
      <c r="J31" s="261">
        <f t="shared" si="0"/>
        <v>-0.39996312004425594</v>
      </c>
    </row>
    <row r="32" spans="1:10">
      <c r="A32" s="135"/>
      <c r="B32" s="137" t="s">
        <v>264</v>
      </c>
      <c r="C32" s="202"/>
      <c r="D32" s="138"/>
      <c r="E32" s="139"/>
      <c r="F32" s="117">
        <f>SUM(F29:F31)</f>
        <v>52229246</v>
      </c>
      <c r="G32" s="117">
        <f>SUM(G29:G31)</f>
        <v>3254000</v>
      </c>
      <c r="H32" s="117">
        <f>SUM(H29:H31)</f>
        <v>5423000</v>
      </c>
      <c r="I32" s="216">
        <f>SUM(I29:I31)</f>
        <v>7235000</v>
      </c>
      <c r="J32" s="261">
        <f t="shared" si="0"/>
        <v>-0.39996312004425594</v>
      </c>
    </row>
    <row r="33" spans="1:10">
      <c r="A33" s="157"/>
      <c r="B33" s="203" t="s">
        <v>265</v>
      </c>
      <c r="C33" s="204"/>
      <c r="D33" s="205"/>
      <c r="E33" s="180">
        <v>12</v>
      </c>
      <c r="F33" s="174">
        <v>0</v>
      </c>
      <c r="G33" s="174">
        <v>0</v>
      </c>
      <c r="H33" s="174">
        <v>0</v>
      </c>
      <c r="I33" s="225">
        <v>0</v>
      </c>
      <c r="J33" s="261" t="e">
        <f t="shared" si="0"/>
        <v>#DIV/0!</v>
      </c>
    </row>
    <row r="34" spans="1:10" ht="13.5" thickBot="1">
      <c r="A34" s="206"/>
      <c r="B34" s="207" t="s">
        <v>266</v>
      </c>
      <c r="C34" s="208"/>
      <c r="D34" s="209"/>
      <c r="E34" s="210"/>
      <c r="F34" s="211" t="e">
        <f>F21+F28+F32+F33</f>
        <v>#VALUE!</v>
      </c>
      <c r="G34" s="211">
        <f>G21+G28+G32+G33</f>
        <v>84939000</v>
      </c>
      <c r="H34" s="211">
        <f>H21+H28+H32+H33</f>
        <v>76927601</v>
      </c>
      <c r="I34" s="229">
        <f>I21+I28+I32+I33</f>
        <v>86853000</v>
      </c>
      <c r="J34" s="261">
        <f t="shared" si="0"/>
        <v>0.10414206209290212</v>
      </c>
    </row>
  </sheetData>
  <mergeCells count="2">
    <mergeCell ref="E1:E3"/>
    <mergeCell ref="A1:A3"/>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opLeftCell="B12" workbookViewId="0">
      <selection activeCell="B1" sqref="A1:F31"/>
    </sheetView>
  </sheetViews>
  <sheetFormatPr baseColWidth="10" defaultRowHeight="13"/>
  <cols>
    <col min="1" max="1" width="7.69921875" hidden="1" customWidth="1"/>
    <col min="2" max="2" width="46" customWidth="1"/>
    <col min="3" max="3" width="14.8984375" hidden="1" customWidth="1"/>
    <col min="4" max="4" width="14.8984375" customWidth="1"/>
    <col min="5" max="5" width="15.8984375" customWidth="1"/>
    <col min="6" max="6" width="15.69921875" customWidth="1"/>
  </cols>
  <sheetData>
    <row r="1" spans="1:6">
      <c r="A1" s="382" t="s">
        <v>52</v>
      </c>
      <c r="B1" s="371" t="s">
        <v>267</v>
      </c>
      <c r="C1" s="385" t="s">
        <v>53</v>
      </c>
      <c r="D1" s="270" t="s">
        <v>2</v>
      </c>
      <c r="E1" s="270" t="s">
        <v>2</v>
      </c>
      <c r="F1" s="271" t="s">
        <v>84</v>
      </c>
    </row>
    <row r="2" spans="1:6">
      <c r="A2" s="383"/>
      <c r="B2" s="372"/>
      <c r="C2" s="386"/>
      <c r="D2" s="272" t="s">
        <v>88</v>
      </c>
      <c r="E2" s="272" t="s">
        <v>87</v>
      </c>
      <c r="F2" s="273" t="s">
        <v>89</v>
      </c>
    </row>
    <row r="3" spans="1:6" ht="13.5" thickBot="1">
      <c r="A3" s="384"/>
      <c r="B3" s="373"/>
      <c r="C3" s="387"/>
      <c r="D3" s="274" t="s">
        <v>3</v>
      </c>
      <c r="E3" s="274" t="s">
        <v>3</v>
      </c>
      <c r="F3" s="275" t="s">
        <v>3</v>
      </c>
    </row>
    <row r="4" spans="1:6">
      <c r="A4" s="75" t="s">
        <v>54</v>
      </c>
      <c r="B4" s="76" t="s">
        <v>55</v>
      </c>
      <c r="C4" s="77">
        <v>13</v>
      </c>
      <c r="D4" s="78">
        <v>42687971</v>
      </c>
      <c r="E4" s="78">
        <v>37702931</v>
      </c>
      <c r="F4" s="79">
        <v>41016000</v>
      </c>
    </row>
    <row r="5" spans="1:6">
      <c r="A5" s="80" t="s">
        <v>56</v>
      </c>
      <c r="B5" s="76" t="s">
        <v>268</v>
      </c>
      <c r="C5" s="77">
        <v>13</v>
      </c>
      <c r="D5" s="78">
        <v>0</v>
      </c>
      <c r="E5" s="81">
        <v>0</v>
      </c>
      <c r="F5" s="82">
        <v>0</v>
      </c>
    </row>
    <row r="6" spans="1:6">
      <c r="A6" s="80" t="s">
        <v>57</v>
      </c>
      <c r="B6" s="76" t="s">
        <v>269</v>
      </c>
      <c r="C6" s="77">
        <v>14</v>
      </c>
      <c r="D6" s="78">
        <v>0</v>
      </c>
      <c r="E6" s="81">
        <v>0</v>
      </c>
      <c r="F6" s="82">
        <v>0</v>
      </c>
    </row>
    <row r="7" spans="1:6">
      <c r="A7" s="75" t="s">
        <v>58</v>
      </c>
      <c r="B7" s="76" t="s">
        <v>270</v>
      </c>
      <c r="C7" s="77" t="s">
        <v>59</v>
      </c>
      <c r="D7" s="78">
        <v>0</v>
      </c>
      <c r="E7" s="81">
        <v>0</v>
      </c>
      <c r="F7" s="82">
        <v>0</v>
      </c>
    </row>
    <row r="8" spans="1:6">
      <c r="A8" s="80" t="s">
        <v>60</v>
      </c>
      <c r="B8" s="76" t="s">
        <v>271</v>
      </c>
      <c r="C8" s="77">
        <v>14</v>
      </c>
      <c r="D8" s="78">
        <v>0</v>
      </c>
      <c r="E8" s="81">
        <v>0</v>
      </c>
      <c r="F8" s="82">
        <v>0</v>
      </c>
    </row>
    <row r="9" spans="1:6">
      <c r="A9" s="80" t="s">
        <v>61</v>
      </c>
      <c r="B9" s="76" t="s">
        <v>272</v>
      </c>
      <c r="C9" s="77">
        <v>14</v>
      </c>
      <c r="D9" s="78">
        <v>0</v>
      </c>
      <c r="E9" s="83">
        <v>0</v>
      </c>
      <c r="F9" s="82">
        <v>0</v>
      </c>
    </row>
    <row r="10" spans="1:6">
      <c r="A10" s="80" t="s">
        <v>62</v>
      </c>
      <c r="B10" s="76" t="s">
        <v>273</v>
      </c>
      <c r="C10" s="77">
        <v>14</v>
      </c>
      <c r="D10" s="78">
        <v>0</v>
      </c>
      <c r="E10" s="81">
        <v>0</v>
      </c>
      <c r="F10" s="82">
        <v>0</v>
      </c>
    </row>
    <row r="11" spans="1:6">
      <c r="A11" s="80" t="s">
        <v>63</v>
      </c>
      <c r="B11" s="84" t="s">
        <v>274</v>
      </c>
      <c r="C11" s="77"/>
      <c r="D11" s="85">
        <v>29038715</v>
      </c>
      <c r="E11" s="85">
        <v>21233380</v>
      </c>
      <c r="F11" s="85">
        <v>31603000</v>
      </c>
    </row>
    <row r="12" spans="1:6">
      <c r="A12" s="80" t="s">
        <v>64</v>
      </c>
      <c r="B12" s="76" t="s">
        <v>275</v>
      </c>
      <c r="C12" s="77">
        <v>15</v>
      </c>
      <c r="D12" s="78">
        <v>0</v>
      </c>
      <c r="E12" s="81">
        <v>0</v>
      </c>
      <c r="F12" s="82">
        <v>0</v>
      </c>
    </row>
    <row r="13" spans="1:6">
      <c r="A13" s="80" t="s">
        <v>65</v>
      </c>
      <c r="B13" s="76" t="s">
        <v>276</v>
      </c>
      <c r="C13" s="77">
        <v>15</v>
      </c>
      <c r="D13" s="78">
        <v>0</v>
      </c>
      <c r="E13" s="86">
        <v>0</v>
      </c>
      <c r="F13" s="87">
        <v>0</v>
      </c>
    </row>
    <row r="14" spans="1:6" ht="26">
      <c r="A14" s="80" t="s">
        <v>66</v>
      </c>
      <c r="B14" s="88" t="s">
        <v>277</v>
      </c>
      <c r="C14" s="89"/>
      <c r="D14" s="241">
        <f>SUM(D4:D13)</f>
        <v>71726686</v>
      </c>
      <c r="E14" s="242">
        <f>SUM(E4:E13)</f>
        <v>58936311</v>
      </c>
      <c r="F14" s="91">
        <f>SUM(F4:F13)</f>
        <v>72619000</v>
      </c>
    </row>
    <row r="15" spans="1:6">
      <c r="A15" s="80" t="s">
        <v>67</v>
      </c>
      <c r="B15" s="76" t="s">
        <v>278</v>
      </c>
      <c r="C15" s="77">
        <v>16</v>
      </c>
      <c r="D15" s="78">
        <v>0</v>
      </c>
      <c r="E15" s="78">
        <v>0</v>
      </c>
      <c r="F15" s="79">
        <v>0</v>
      </c>
    </row>
    <row r="16" spans="1:6">
      <c r="A16" s="80" t="s">
        <v>68</v>
      </c>
      <c r="B16" s="76" t="s">
        <v>279</v>
      </c>
      <c r="C16" s="77">
        <v>16</v>
      </c>
      <c r="D16" s="78">
        <v>0</v>
      </c>
      <c r="E16" s="81">
        <v>0</v>
      </c>
      <c r="F16" s="82">
        <v>0</v>
      </c>
    </row>
    <row r="17" spans="1:6">
      <c r="A17" s="75" t="s">
        <v>69</v>
      </c>
      <c r="B17" s="76" t="s">
        <v>280</v>
      </c>
      <c r="C17" s="77">
        <v>16</v>
      </c>
      <c r="D17" s="78">
        <v>0</v>
      </c>
      <c r="E17" s="86">
        <v>0</v>
      </c>
      <c r="F17" s="87">
        <v>0</v>
      </c>
    </row>
    <row r="18" spans="1:6" ht="26">
      <c r="A18" s="80" t="s">
        <v>70</v>
      </c>
      <c r="B18" s="88" t="s">
        <v>281</v>
      </c>
      <c r="C18" s="89"/>
      <c r="D18" s="241">
        <f>SUM(D15:D17)</f>
        <v>0</v>
      </c>
      <c r="E18" s="90">
        <f>SUM(E15:E17)</f>
        <v>0</v>
      </c>
      <c r="F18" s="91">
        <f>SUM(F15:F17)</f>
        <v>0</v>
      </c>
    </row>
    <row r="19" spans="1:6">
      <c r="A19" s="75" t="s">
        <v>71</v>
      </c>
      <c r="B19" s="92" t="s">
        <v>282</v>
      </c>
      <c r="C19" s="89"/>
      <c r="D19" s="89">
        <f>D14+D18</f>
        <v>71726686</v>
      </c>
      <c r="E19" s="242">
        <f>E14+E18</f>
        <v>58936311</v>
      </c>
      <c r="F19" s="91">
        <f>F14+F18</f>
        <v>72619000</v>
      </c>
    </row>
    <row r="20" spans="1:6">
      <c r="A20" s="80" t="s">
        <v>72</v>
      </c>
      <c r="B20" s="76" t="s">
        <v>283</v>
      </c>
      <c r="C20" s="77">
        <v>5</v>
      </c>
      <c r="D20" s="78">
        <v>0</v>
      </c>
      <c r="E20" s="78">
        <v>0</v>
      </c>
      <c r="F20" s="79">
        <v>0</v>
      </c>
    </row>
    <row r="21" spans="1:6">
      <c r="A21" s="80" t="s">
        <v>73</v>
      </c>
      <c r="B21" s="76" t="s">
        <v>284</v>
      </c>
      <c r="C21" s="77">
        <v>7</v>
      </c>
      <c r="F21" s="82">
        <v>0</v>
      </c>
    </row>
    <row r="22" spans="1:6">
      <c r="A22" s="80" t="s">
        <v>74</v>
      </c>
      <c r="B22" s="76" t="s">
        <v>285</v>
      </c>
      <c r="C22" s="77">
        <v>17</v>
      </c>
      <c r="D22" s="78">
        <v>6854000</v>
      </c>
      <c r="E22" s="81">
        <v>13688676</v>
      </c>
      <c r="F22" s="82">
        <v>13255000</v>
      </c>
    </row>
    <row r="23" spans="1:6">
      <c r="A23" s="80" t="s">
        <v>75</v>
      </c>
      <c r="B23" s="76" t="s">
        <v>286</v>
      </c>
      <c r="C23" s="77">
        <v>18</v>
      </c>
      <c r="D23" s="78">
        <v>2106412</v>
      </c>
      <c r="E23" s="93">
        <v>1315825</v>
      </c>
      <c r="F23" s="82">
        <f>865000+114000</f>
        <v>979000</v>
      </c>
    </row>
    <row r="24" spans="1:6">
      <c r="A24" s="80" t="s">
        <v>76</v>
      </c>
      <c r="B24" s="76" t="s">
        <v>287</v>
      </c>
      <c r="C24" s="77">
        <v>19</v>
      </c>
      <c r="D24" s="78">
        <v>0</v>
      </c>
      <c r="E24" s="93">
        <v>0</v>
      </c>
      <c r="F24" s="82">
        <v>0</v>
      </c>
    </row>
    <row r="25" spans="1:6">
      <c r="A25" s="80" t="s">
        <v>77</v>
      </c>
      <c r="B25" s="94" t="s">
        <v>288</v>
      </c>
      <c r="C25" s="77">
        <v>19</v>
      </c>
      <c r="D25" s="78">
        <v>0</v>
      </c>
      <c r="E25" s="86">
        <v>0</v>
      </c>
      <c r="F25" s="87">
        <v>0</v>
      </c>
    </row>
    <row r="26" spans="1:6">
      <c r="A26" s="75" t="s">
        <v>78</v>
      </c>
      <c r="B26" s="92" t="s">
        <v>289</v>
      </c>
      <c r="C26" s="89"/>
      <c r="D26" s="241">
        <f>SUM(D20:D25)</f>
        <v>8960412</v>
      </c>
      <c r="E26" s="242">
        <f>SUM(E20:E25)</f>
        <v>15004501</v>
      </c>
      <c r="F26" s="91">
        <f>SUM(F20:F25)</f>
        <v>14234000</v>
      </c>
    </row>
    <row r="27" spans="1:6">
      <c r="A27" s="95" t="s">
        <v>79</v>
      </c>
      <c r="B27" s="96" t="s">
        <v>290</v>
      </c>
      <c r="C27" s="97">
        <v>20</v>
      </c>
      <c r="D27" s="78">
        <v>0</v>
      </c>
      <c r="E27" s="98">
        <v>0</v>
      </c>
      <c r="F27" s="99">
        <v>0</v>
      </c>
    </row>
    <row r="28" spans="1:6" ht="25.5">
      <c r="A28" s="100" t="s">
        <v>80</v>
      </c>
      <c r="B28" s="84" t="s">
        <v>291</v>
      </c>
      <c r="C28" s="77">
        <v>20</v>
      </c>
      <c r="D28" s="78">
        <v>4251902</v>
      </c>
      <c r="E28" s="86">
        <v>2986789</v>
      </c>
      <c r="F28" s="87">
        <v>0</v>
      </c>
    </row>
    <row r="29" spans="1:6">
      <c r="A29" s="75" t="s">
        <v>81</v>
      </c>
      <c r="B29" s="92" t="s">
        <v>264</v>
      </c>
      <c r="C29" s="89"/>
      <c r="D29" s="241">
        <f>SUM(D27:D28)</f>
        <v>4251902</v>
      </c>
      <c r="E29" s="242">
        <f>SUM(E27:E28)</f>
        <v>2986789</v>
      </c>
      <c r="F29" s="91">
        <f>SUM(F27:F28)</f>
        <v>0</v>
      </c>
    </row>
    <row r="30" spans="1:6" ht="13.5" thickBot="1">
      <c r="A30" s="80" t="s">
        <v>82</v>
      </c>
      <c r="B30" s="94" t="s">
        <v>292</v>
      </c>
      <c r="C30" s="101">
        <v>12</v>
      </c>
      <c r="D30" s="86">
        <v>0</v>
      </c>
      <c r="E30" s="78">
        <v>0</v>
      </c>
      <c r="F30" s="79">
        <v>0</v>
      </c>
    </row>
    <row r="31" spans="1:6" ht="13.5" thickBot="1">
      <c r="A31" s="102" t="s">
        <v>83</v>
      </c>
      <c r="B31" s="103" t="s">
        <v>293</v>
      </c>
      <c r="C31" s="103"/>
      <c r="D31" s="243">
        <f>D19+D26+D29+D30</f>
        <v>84939000</v>
      </c>
      <c r="E31" s="243">
        <f>E19+E26+E29+E30</f>
        <v>76927601</v>
      </c>
      <c r="F31" s="104">
        <f>F19+F26+F29+F30</f>
        <v>86853000</v>
      </c>
    </row>
    <row r="32" spans="1:6">
      <c r="A32" s="105"/>
      <c r="B32" s="105"/>
      <c r="C32" s="105"/>
      <c r="D32" s="105"/>
      <c r="E32" s="106"/>
      <c r="F32" s="106"/>
    </row>
    <row r="33" spans="1:6">
      <c r="A33" s="105"/>
      <c r="B33" s="105"/>
      <c r="C33" s="105"/>
      <c r="D33" s="105"/>
      <c r="E33" s="106"/>
      <c r="F33" s="106"/>
    </row>
  </sheetData>
  <mergeCells count="2">
    <mergeCell ref="A1:A3"/>
    <mergeCell ref="C1:C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topLeftCell="B25" zoomScaleNormal="100" workbookViewId="0">
      <selection activeCell="L45" sqref="A1:XFD1048576"/>
    </sheetView>
  </sheetViews>
  <sheetFormatPr baseColWidth="10" defaultRowHeight="13"/>
  <cols>
    <col min="1" max="1" width="4.8984375" hidden="1" customWidth="1"/>
    <col min="2" max="2" width="16.69921875" customWidth="1"/>
    <col min="3" max="3" width="16.296875" customWidth="1"/>
    <col min="4" max="4" width="24" customWidth="1"/>
    <col min="5" max="5" width="11.296875" customWidth="1"/>
    <col min="6" max="6" width="5.09765625" customWidth="1"/>
    <col min="7" max="7" width="5.69921875" style="251" hidden="1" customWidth="1"/>
    <col min="8" max="8" width="7" hidden="1" customWidth="1"/>
    <col min="9" max="10" width="14.296875" customWidth="1"/>
    <col min="11" max="11" width="15.3984375" customWidth="1"/>
  </cols>
  <sheetData>
    <row r="1" spans="1:13" ht="14">
      <c r="A1" s="388" t="s">
        <v>0</v>
      </c>
      <c r="B1" s="374" t="s">
        <v>294</v>
      </c>
      <c r="C1" s="374"/>
      <c r="D1" s="374"/>
      <c r="E1" s="374"/>
      <c r="F1" s="391"/>
      <c r="G1" s="397"/>
      <c r="H1" s="394" t="s">
        <v>1</v>
      </c>
      <c r="I1" s="1" t="s">
        <v>2</v>
      </c>
      <c r="J1" s="2" t="s">
        <v>2</v>
      </c>
      <c r="K1" s="2" t="s">
        <v>2</v>
      </c>
    </row>
    <row r="2" spans="1:13" ht="14">
      <c r="A2" s="389"/>
      <c r="B2" s="375"/>
      <c r="C2" s="375"/>
      <c r="D2" s="375"/>
      <c r="E2" s="375"/>
      <c r="F2" s="392"/>
      <c r="G2" s="398"/>
      <c r="H2" s="395"/>
      <c r="I2" s="3" t="s">
        <v>88</v>
      </c>
      <c r="J2" s="4" t="s">
        <v>87</v>
      </c>
      <c r="K2" s="4" t="s">
        <v>89</v>
      </c>
    </row>
    <row r="3" spans="1:13" ht="14">
      <c r="A3" s="390"/>
      <c r="B3" s="376"/>
      <c r="C3" s="376"/>
      <c r="D3" s="376"/>
      <c r="E3" s="376"/>
      <c r="F3" s="393"/>
      <c r="G3" s="399"/>
      <c r="H3" s="396"/>
      <c r="I3" s="5" t="s">
        <v>3</v>
      </c>
      <c r="J3" s="6" t="s">
        <v>3</v>
      </c>
      <c r="K3" s="6" t="s">
        <v>3</v>
      </c>
    </row>
    <row r="4" spans="1:13" ht="14">
      <c r="A4" s="7" t="s">
        <v>4</v>
      </c>
      <c r="B4" s="8" t="s">
        <v>295</v>
      </c>
      <c r="C4" s="9"/>
      <c r="D4" s="9"/>
      <c r="E4" s="10"/>
      <c r="F4" s="11" t="s">
        <v>97</v>
      </c>
      <c r="G4" s="252">
        <v>1</v>
      </c>
      <c r="H4" s="12">
        <v>21</v>
      </c>
      <c r="I4" s="13">
        <v>308158920</v>
      </c>
      <c r="J4" s="213">
        <v>224653915</v>
      </c>
      <c r="K4" s="14">
        <v>489605000</v>
      </c>
      <c r="L4" s="249"/>
      <c r="M4" s="250"/>
    </row>
    <row r="5" spans="1:13" ht="14">
      <c r="A5" s="15" t="s">
        <v>6</v>
      </c>
      <c r="B5" s="16" t="s">
        <v>296</v>
      </c>
      <c r="C5" s="17"/>
      <c r="D5" s="17"/>
      <c r="E5" s="18"/>
      <c r="F5" s="19" t="s">
        <v>98</v>
      </c>
      <c r="G5" s="253">
        <v>-1</v>
      </c>
      <c r="H5" s="20">
        <v>22</v>
      </c>
      <c r="I5" s="13">
        <v>260652475</v>
      </c>
      <c r="J5" s="214">
        <v>182314905</v>
      </c>
      <c r="K5" s="21">
        <v>393265000</v>
      </c>
      <c r="L5" s="249"/>
    </row>
    <row r="6" spans="1:13" ht="14">
      <c r="A6" s="22" t="s">
        <v>8</v>
      </c>
      <c r="B6" s="23" t="s">
        <v>297</v>
      </c>
      <c r="C6" s="24"/>
      <c r="D6" s="24"/>
      <c r="E6" s="25"/>
      <c r="F6" s="26" t="s">
        <v>99</v>
      </c>
      <c r="G6" s="254">
        <v>1</v>
      </c>
      <c r="H6" s="27">
        <v>6</v>
      </c>
      <c r="I6" s="13">
        <v>7867450</v>
      </c>
      <c r="J6" s="214">
        <v>4125650</v>
      </c>
      <c r="K6" s="21">
        <v>1696000</v>
      </c>
      <c r="L6" s="249"/>
    </row>
    <row r="7" spans="1:13" ht="14">
      <c r="A7" s="28" t="s">
        <v>10</v>
      </c>
      <c r="B7" s="29" t="s">
        <v>298</v>
      </c>
      <c r="C7" s="30"/>
      <c r="D7" s="30"/>
      <c r="E7" s="31"/>
      <c r="F7" s="32"/>
      <c r="G7" s="255"/>
      <c r="H7" s="33"/>
      <c r="I7" s="34">
        <f>I6*G6+I5*G5+I4*G4</f>
        <v>55373895</v>
      </c>
      <c r="J7" s="34">
        <f>J6*G6+J5*G5+J4*G4</f>
        <v>46464660</v>
      </c>
      <c r="K7" s="34">
        <f>K6*G6+K5*G5+K4*G4</f>
        <v>98036000</v>
      </c>
      <c r="L7" s="250"/>
    </row>
    <row r="8" spans="1:13" ht="14">
      <c r="A8" s="7" t="s">
        <v>11</v>
      </c>
      <c r="B8" s="8" t="s">
        <v>299</v>
      </c>
      <c r="C8" s="9"/>
      <c r="D8" s="9"/>
      <c r="E8" s="36"/>
      <c r="F8" s="37" t="s">
        <v>5</v>
      </c>
      <c r="G8" s="256">
        <v>1</v>
      </c>
      <c r="H8" s="12">
        <v>21</v>
      </c>
      <c r="I8" s="13">
        <v>0</v>
      </c>
      <c r="J8" s="214">
        <v>0</v>
      </c>
      <c r="K8" s="21">
        <v>0</v>
      </c>
    </row>
    <row r="9" spans="1:13" ht="14">
      <c r="A9" s="15" t="s">
        <v>12</v>
      </c>
      <c r="B9" s="16" t="s">
        <v>300</v>
      </c>
      <c r="C9" s="17"/>
      <c r="D9" s="17"/>
      <c r="E9" s="38"/>
      <c r="F9" s="39" t="s">
        <v>5</v>
      </c>
      <c r="G9" s="253">
        <v>1</v>
      </c>
      <c r="H9" s="20">
        <v>21</v>
      </c>
      <c r="I9" s="13">
        <v>0</v>
      </c>
      <c r="J9" s="214">
        <v>0</v>
      </c>
      <c r="K9" s="21">
        <v>0</v>
      </c>
    </row>
    <row r="10" spans="1:13" ht="14">
      <c r="A10" s="22" t="s">
        <v>13</v>
      </c>
      <c r="B10" s="40" t="s">
        <v>301</v>
      </c>
      <c r="C10" s="41"/>
      <c r="D10" s="41"/>
      <c r="E10" s="42"/>
      <c r="F10" s="26" t="s">
        <v>5</v>
      </c>
      <c r="G10" s="254">
        <v>1</v>
      </c>
      <c r="H10" s="27">
        <v>21</v>
      </c>
      <c r="I10" s="13">
        <v>0</v>
      </c>
      <c r="J10" s="214">
        <v>0</v>
      </c>
      <c r="K10" s="21">
        <v>0</v>
      </c>
    </row>
    <row r="11" spans="1:13" ht="14">
      <c r="A11" s="28" t="s">
        <v>14</v>
      </c>
      <c r="B11" s="29" t="s">
        <v>302</v>
      </c>
      <c r="C11" s="30"/>
      <c r="D11" s="30"/>
      <c r="E11" s="31"/>
      <c r="F11" s="32"/>
      <c r="G11" s="255"/>
      <c r="H11" s="33"/>
      <c r="I11" s="34">
        <f>I4*G4+I8*G8+I9*G9+I10*G10</f>
        <v>308158920</v>
      </c>
      <c r="J11" s="34">
        <f>J4*G4+J8*G8+J9*G9+J10*G10</f>
        <v>224653915</v>
      </c>
      <c r="K11" s="34">
        <f>K4*G4+K8*G8+K9*G9+K10*G10</f>
        <v>489605000</v>
      </c>
    </row>
    <row r="12" spans="1:13" ht="14">
      <c r="A12" s="7" t="s">
        <v>15</v>
      </c>
      <c r="B12" s="8" t="s">
        <v>303</v>
      </c>
      <c r="C12" s="9"/>
      <c r="D12" s="9"/>
      <c r="E12" s="43"/>
      <c r="F12" s="37" t="s">
        <v>9</v>
      </c>
      <c r="G12" s="256">
        <v>1</v>
      </c>
      <c r="H12" s="12">
        <v>6</v>
      </c>
      <c r="I12" s="13">
        <v>0</v>
      </c>
      <c r="J12" s="214">
        <v>0</v>
      </c>
      <c r="K12" s="21">
        <v>0</v>
      </c>
    </row>
    <row r="13" spans="1:13" ht="14">
      <c r="A13" s="15" t="s">
        <v>16</v>
      </c>
      <c r="B13" s="16" t="s">
        <v>304</v>
      </c>
      <c r="C13" s="17"/>
      <c r="D13" s="17"/>
      <c r="E13" s="18"/>
      <c r="F13" s="39" t="s">
        <v>5</v>
      </c>
      <c r="G13" s="253">
        <v>1</v>
      </c>
      <c r="H13" s="20">
        <v>21</v>
      </c>
      <c r="I13" s="13">
        <v>0</v>
      </c>
      <c r="J13" s="214">
        <v>0</v>
      </c>
      <c r="K13" s="21">
        <v>0</v>
      </c>
    </row>
    <row r="14" spans="1:13" ht="14">
      <c r="A14" s="15" t="s">
        <v>17</v>
      </c>
      <c r="B14" s="16" t="s">
        <v>305</v>
      </c>
      <c r="C14" s="17"/>
      <c r="D14" s="17"/>
      <c r="E14" s="18"/>
      <c r="F14" s="39" t="s">
        <v>5</v>
      </c>
      <c r="G14" s="253">
        <v>1</v>
      </c>
      <c r="H14" s="20">
        <v>21</v>
      </c>
      <c r="I14" s="13">
        <v>0</v>
      </c>
      <c r="J14" s="214">
        <v>0</v>
      </c>
      <c r="K14" s="21">
        <v>0</v>
      </c>
    </row>
    <row r="15" spans="1:13" ht="14">
      <c r="A15" s="15" t="s">
        <v>18</v>
      </c>
      <c r="B15" s="16" t="s">
        <v>306</v>
      </c>
      <c r="C15" s="17"/>
      <c r="D15" s="17"/>
      <c r="E15" s="18"/>
      <c r="F15" s="39" t="s">
        <v>5</v>
      </c>
      <c r="G15" s="253">
        <v>1</v>
      </c>
      <c r="H15" s="20">
        <v>21</v>
      </c>
      <c r="I15" s="13">
        <v>0</v>
      </c>
      <c r="J15" s="214">
        <v>0</v>
      </c>
      <c r="K15" s="21">
        <v>0</v>
      </c>
    </row>
    <row r="16" spans="1:13" ht="14">
      <c r="A16" s="15" t="s">
        <v>19</v>
      </c>
      <c r="B16" s="44" t="s">
        <v>307</v>
      </c>
      <c r="C16" s="45"/>
      <c r="D16" s="45"/>
      <c r="E16" s="46"/>
      <c r="F16" s="39" t="s">
        <v>5</v>
      </c>
      <c r="G16" s="253">
        <v>1</v>
      </c>
      <c r="H16" s="20">
        <v>12</v>
      </c>
      <c r="I16" s="13">
        <v>0</v>
      </c>
      <c r="J16" s="214">
        <v>0</v>
      </c>
      <c r="K16" s="21">
        <v>0</v>
      </c>
    </row>
    <row r="17" spans="1:11" ht="14">
      <c r="A17" s="15" t="s">
        <v>20</v>
      </c>
      <c r="B17" s="16" t="s">
        <v>308</v>
      </c>
      <c r="C17" s="17"/>
      <c r="D17" s="17"/>
      <c r="E17" s="18"/>
      <c r="F17" s="19" t="s">
        <v>7</v>
      </c>
      <c r="G17" s="253">
        <v>-1</v>
      </c>
      <c r="H17" s="20">
        <v>22</v>
      </c>
      <c r="I17" s="13">
        <v>0</v>
      </c>
      <c r="J17" s="214">
        <v>0</v>
      </c>
      <c r="K17" s="21">
        <v>0</v>
      </c>
    </row>
    <row r="18" spans="1:11" ht="14">
      <c r="A18" s="15" t="s">
        <v>21</v>
      </c>
      <c r="B18" s="47" t="s">
        <v>309</v>
      </c>
      <c r="C18" s="48"/>
      <c r="D18" s="48"/>
      <c r="E18" s="49"/>
      <c r="F18" s="50" t="s">
        <v>9</v>
      </c>
      <c r="G18" s="253">
        <v>1</v>
      </c>
      <c r="H18" s="20">
        <v>6</v>
      </c>
      <c r="I18" s="13">
        <v>0</v>
      </c>
      <c r="J18" s="214">
        <v>0</v>
      </c>
      <c r="K18" s="21">
        <v>0</v>
      </c>
    </row>
    <row r="19" spans="1:11" ht="14">
      <c r="A19" s="15" t="s">
        <v>22</v>
      </c>
      <c r="B19" s="16" t="s">
        <v>310</v>
      </c>
      <c r="C19" s="17"/>
      <c r="D19" s="17"/>
      <c r="E19" s="18"/>
      <c r="F19" s="19" t="s">
        <v>7</v>
      </c>
      <c r="G19" s="253">
        <v>-1</v>
      </c>
      <c r="H19" s="20">
        <v>22</v>
      </c>
      <c r="I19" s="13">
        <v>3883900</v>
      </c>
      <c r="J19" s="214">
        <v>3512137</v>
      </c>
      <c r="K19" s="21">
        <v>22305000</v>
      </c>
    </row>
    <row r="20" spans="1:11" ht="14">
      <c r="A20" s="15" t="s">
        <v>23</v>
      </c>
      <c r="B20" s="16" t="s">
        <v>311</v>
      </c>
      <c r="C20" s="17"/>
      <c r="D20" s="17"/>
      <c r="E20" s="18"/>
      <c r="F20" s="50" t="s">
        <v>9</v>
      </c>
      <c r="G20" s="253">
        <v>1</v>
      </c>
      <c r="H20" s="20">
        <v>6</v>
      </c>
      <c r="I20" s="13">
        <v>0</v>
      </c>
      <c r="J20" s="214">
        <v>0</v>
      </c>
      <c r="K20" s="21">
        <v>0</v>
      </c>
    </row>
    <row r="21" spans="1:11" ht="14">
      <c r="A21" s="15" t="s">
        <v>24</v>
      </c>
      <c r="B21" s="16" t="s">
        <v>25</v>
      </c>
      <c r="C21" s="17"/>
      <c r="D21" s="17"/>
      <c r="E21" s="18"/>
      <c r="F21" s="19" t="s">
        <v>7</v>
      </c>
      <c r="G21" s="253">
        <v>-1</v>
      </c>
      <c r="H21" s="20">
        <v>23</v>
      </c>
      <c r="I21" s="13">
        <v>274500</v>
      </c>
      <c r="J21" s="214">
        <v>1178835</v>
      </c>
      <c r="K21" s="21">
        <v>5423000</v>
      </c>
    </row>
    <row r="22" spans="1:11" ht="14">
      <c r="A22" s="15" t="s">
        <v>26</v>
      </c>
      <c r="B22" s="16" t="s">
        <v>312</v>
      </c>
      <c r="C22" s="17"/>
      <c r="D22" s="17"/>
      <c r="E22" s="18"/>
      <c r="F22" s="19" t="s">
        <v>7</v>
      </c>
      <c r="G22" s="253">
        <v>-1</v>
      </c>
      <c r="H22" s="20">
        <v>24</v>
      </c>
      <c r="I22" s="13">
        <v>7638665</v>
      </c>
      <c r="J22" s="214">
        <v>5576965</v>
      </c>
      <c r="K22" s="21">
        <v>13453000</v>
      </c>
    </row>
    <row r="23" spans="1:11" ht="14">
      <c r="A23" s="15" t="s">
        <v>27</v>
      </c>
      <c r="B23" s="16" t="s">
        <v>313</v>
      </c>
      <c r="C23" s="17"/>
      <c r="D23" s="17"/>
      <c r="E23" s="18"/>
      <c r="F23" s="19" t="s">
        <v>7</v>
      </c>
      <c r="G23" s="253">
        <v>-1</v>
      </c>
      <c r="H23" s="20">
        <v>25</v>
      </c>
      <c r="I23" s="13">
        <v>136500</v>
      </c>
      <c r="J23" s="214">
        <v>1275370</v>
      </c>
      <c r="K23" s="21">
        <v>1631000</v>
      </c>
    </row>
    <row r="24" spans="1:11" ht="14">
      <c r="A24" s="22" t="s">
        <v>28</v>
      </c>
      <c r="B24" s="40" t="s">
        <v>314</v>
      </c>
      <c r="C24" s="41"/>
      <c r="D24" s="41"/>
      <c r="E24" s="51"/>
      <c r="F24" s="52" t="s">
        <v>7</v>
      </c>
      <c r="G24" s="254">
        <v>-1</v>
      </c>
      <c r="H24" s="27">
        <v>26</v>
      </c>
      <c r="I24" s="13">
        <v>0</v>
      </c>
      <c r="J24" s="214">
        <v>0</v>
      </c>
      <c r="K24" s="21">
        <v>0</v>
      </c>
    </row>
    <row r="25" spans="1:11" ht="14">
      <c r="A25" s="28" t="s">
        <v>29</v>
      </c>
      <c r="B25" s="29" t="s">
        <v>315</v>
      </c>
      <c r="C25" s="30"/>
      <c r="D25" s="30"/>
      <c r="E25" s="31"/>
      <c r="F25" s="32"/>
      <c r="G25" s="255"/>
      <c r="H25" s="33"/>
      <c r="I25" s="34">
        <f>I11+(I5*G5)+(I6*G6)+(I24*G24)+(I23*G23)+(I22*G22)+(I21*G21)+(I20*G20)+(I19*G19)+(I18*G18)+(I17*G17)+(I16*G16)+(I15*G15)+(I14*G14)+(I13*G13)+(I12*G12)</f>
        <v>43440330</v>
      </c>
      <c r="J25" s="34">
        <f>J11+(J5*G5)+(J6*G6)+(J24*G24)+(J23*G23)+(J22*G22)+(J21*G21)+(J20*G20)+(J19*G19)+(J18*G18)+(J17*G17)+(J16*G16)+(J15*G15)+(J14*G14)+(J13*G13)+(J12*G12)</f>
        <v>34921353</v>
      </c>
      <c r="K25" s="35">
        <f>K11+(K5*G5)+(K6*G6)+(K24*G24)+(K23*G23)+(K22*G22)+(K21*G21)+(K20*G20)+(K19*G19)+(K18*G18)+(K17*G17)+(K16*G16)+(K15*G15)+(K14*G14)+(K13*G13)+(K12*G12)</f>
        <v>55224000</v>
      </c>
    </row>
    <row r="26" spans="1:11" ht="14">
      <c r="A26" s="53" t="s">
        <v>30</v>
      </c>
      <c r="B26" s="54" t="s">
        <v>316</v>
      </c>
      <c r="C26" s="55"/>
      <c r="D26" s="55"/>
      <c r="E26" s="56"/>
      <c r="F26" s="57" t="s">
        <v>7</v>
      </c>
      <c r="G26" s="257">
        <v>-1</v>
      </c>
      <c r="H26" s="58">
        <v>27</v>
      </c>
      <c r="I26" s="13">
        <v>5000000</v>
      </c>
      <c r="J26" s="13">
        <v>5000000</v>
      </c>
      <c r="K26" s="21">
        <v>8450000</v>
      </c>
    </row>
    <row r="27" spans="1:11" ht="14">
      <c r="A27" s="28" t="s">
        <v>31</v>
      </c>
      <c r="B27" s="29" t="s">
        <v>317</v>
      </c>
      <c r="C27" s="30"/>
      <c r="D27" s="30"/>
      <c r="E27" s="31"/>
      <c r="F27" s="32"/>
      <c r="G27" s="255"/>
      <c r="H27" s="33">
        <v>28</v>
      </c>
      <c r="I27" s="34">
        <f>I25+(I26*G26)</f>
        <v>38440330</v>
      </c>
      <c r="J27" s="34">
        <f>+J25+(J26*G26)</f>
        <v>29921353</v>
      </c>
      <c r="K27" s="35">
        <f>+K25+(K26*G26)</f>
        <v>46774000</v>
      </c>
    </row>
    <row r="28" spans="1:11" ht="14">
      <c r="A28" s="7" t="s">
        <v>32</v>
      </c>
      <c r="B28" s="8" t="s">
        <v>318</v>
      </c>
      <c r="C28" s="9"/>
      <c r="D28" s="9"/>
      <c r="E28" s="43"/>
      <c r="F28" s="37" t="s">
        <v>5</v>
      </c>
      <c r="G28" s="256">
        <v>1</v>
      </c>
      <c r="H28" s="12">
        <v>28</v>
      </c>
      <c r="I28" s="13">
        <v>0</v>
      </c>
      <c r="J28" s="214">
        <v>0</v>
      </c>
      <c r="K28" s="21">
        <v>0</v>
      </c>
    </row>
    <row r="29" spans="1:11" ht="14">
      <c r="A29" s="22" t="s">
        <v>33</v>
      </c>
      <c r="B29" s="40" t="s">
        <v>318</v>
      </c>
      <c r="C29" s="41"/>
      <c r="D29" s="41"/>
      <c r="E29" s="51"/>
      <c r="F29" s="52" t="s">
        <v>7</v>
      </c>
      <c r="G29" s="254">
        <v>-1</v>
      </c>
      <c r="H29" s="27" t="s">
        <v>34</v>
      </c>
      <c r="I29" s="13">
        <v>690000</v>
      </c>
      <c r="J29" s="214">
        <v>690000</v>
      </c>
      <c r="K29" s="21">
        <v>1590000</v>
      </c>
    </row>
    <row r="30" spans="1:11" ht="14">
      <c r="A30" s="59" t="s">
        <v>35</v>
      </c>
      <c r="B30" s="29" t="s">
        <v>319</v>
      </c>
      <c r="C30" s="30"/>
      <c r="D30" s="30"/>
      <c r="E30" s="31"/>
      <c r="F30" s="60"/>
      <c r="G30" s="258"/>
      <c r="H30" s="61"/>
      <c r="I30" s="34">
        <f>+I27+(I28*G28)+(I29*G29)</f>
        <v>37750330</v>
      </c>
      <c r="J30" s="34">
        <f>+J27+(J28*G28)+(J29*G29)</f>
        <v>29231353</v>
      </c>
      <c r="K30" s="35">
        <f>+K27+(K28*G28)+(K29*G29)</f>
        <v>45184000</v>
      </c>
    </row>
    <row r="31" spans="1:11" ht="14">
      <c r="A31" s="7" t="s">
        <v>36</v>
      </c>
      <c r="B31" s="8" t="s">
        <v>320</v>
      </c>
      <c r="C31" s="9"/>
      <c r="D31" s="9"/>
      <c r="E31" s="43"/>
      <c r="F31" s="37" t="s">
        <v>5</v>
      </c>
      <c r="G31" s="256">
        <v>1</v>
      </c>
      <c r="H31" s="12">
        <v>29</v>
      </c>
      <c r="I31" s="13">
        <v>0</v>
      </c>
      <c r="J31" s="214">
        <v>0</v>
      </c>
      <c r="K31" s="21">
        <v>0</v>
      </c>
    </row>
    <row r="32" spans="1:11" ht="14">
      <c r="A32" s="15" t="s">
        <v>37</v>
      </c>
      <c r="B32" s="16" t="s">
        <v>321</v>
      </c>
      <c r="C32" s="17"/>
      <c r="D32" s="17"/>
      <c r="E32" s="18"/>
      <c r="F32" s="39" t="s">
        <v>5</v>
      </c>
      <c r="G32" s="253">
        <v>1</v>
      </c>
      <c r="H32" s="20">
        <v>28</v>
      </c>
      <c r="I32" s="13">
        <v>0</v>
      </c>
      <c r="J32" s="260">
        <v>0</v>
      </c>
      <c r="K32" s="21">
        <v>0</v>
      </c>
    </row>
    <row r="33" spans="1:11" ht="14">
      <c r="A33" s="15" t="s">
        <v>38</v>
      </c>
      <c r="B33" s="16" t="s">
        <v>322</v>
      </c>
      <c r="C33" s="17"/>
      <c r="D33" s="17"/>
      <c r="E33" s="18"/>
      <c r="F33" s="39" t="s">
        <v>5</v>
      </c>
      <c r="G33" s="253">
        <v>1</v>
      </c>
      <c r="H33" s="20">
        <v>12</v>
      </c>
      <c r="I33" s="13">
        <v>0</v>
      </c>
      <c r="J33" s="214">
        <v>0</v>
      </c>
      <c r="K33" s="21">
        <v>0</v>
      </c>
    </row>
    <row r="34" spans="1:11" ht="14">
      <c r="A34" s="15" t="s">
        <v>39</v>
      </c>
      <c r="B34" s="16" t="s">
        <v>323</v>
      </c>
      <c r="C34" s="17"/>
      <c r="D34" s="17"/>
      <c r="E34" s="18"/>
      <c r="F34" s="19" t="s">
        <v>7</v>
      </c>
      <c r="G34" s="253">
        <v>-1</v>
      </c>
      <c r="H34" s="20">
        <v>29</v>
      </c>
      <c r="I34" s="13">
        <v>0</v>
      </c>
      <c r="J34" s="214">
        <v>0</v>
      </c>
      <c r="K34" s="21">
        <v>0</v>
      </c>
    </row>
    <row r="35" spans="1:11" ht="14">
      <c r="A35" s="22" t="s">
        <v>40</v>
      </c>
      <c r="B35" s="40" t="s">
        <v>324</v>
      </c>
      <c r="C35" s="41"/>
      <c r="D35" s="41"/>
      <c r="E35" s="51"/>
      <c r="F35" s="52" t="s">
        <v>7</v>
      </c>
      <c r="G35" s="254">
        <v>-1</v>
      </c>
      <c r="H35" s="27" t="s">
        <v>34</v>
      </c>
      <c r="I35" s="13">
        <v>0</v>
      </c>
      <c r="J35" s="214">
        <v>0</v>
      </c>
      <c r="K35" s="21">
        <v>0</v>
      </c>
    </row>
    <row r="36" spans="1:11" ht="14">
      <c r="A36" s="59" t="s">
        <v>41</v>
      </c>
      <c r="B36" s="29" t="s">
        <v>325</v>
      </c>
      <c r="C36" s="30"/>
      <c r="D36" s="30"/>
      <c r="E36" s="31"/>
      <c r="F36" s="60"/>
      <c r="G36" s="258"/>
      <c r="H36" s="61"/>
      <c r="I36" s="34">
        <f>(I35*G35)+(I34*G34)+(I33*G33)+(I32*G32)+(I31*G31)</f>
        <v>0</v>
      </c>
      <c r="J36" s="34">
        <f>(J35*G35)+(J34*G34)+(J33*G33)+(J32*G32)+(J31*G31)</f>
        <v>0</v>
      </c>
      <c r="K36" s="35">
        <f>(K35*G35)+(K34*G34)+(K33*G33)+(K32*G32)+(K31*G31)</f>
        <v>0</v>
      </c>
    </row>
    <row r="37" spans="1:11" ht="14">
      <c r="A37" s="59" t="s">
        <v>42</v>
      </c>
      <c r="B37" s="29" t="s">
        <v>326</v>
      </c>
      <c r="C37" s="30"/>
      <c r="D37" s="30"/>
      <c r="E37" s="31"/>
      <c r="F37" s="60"/>
      <c r="G37" s="258"/>
      <c r="H37" s="61"/>
      <c r="I37" s="34">
        <f>+I30+I36</f>
        <v>37750330</v>
      </c>
      <c r="J37" s="34">
        <f>+J30+J36</f>
        <v>29231353</v>
      </c>
      <c r="K37" s="35">
        <f>+K30+K36</f>
        <v>45184000</v>
      </c>
    </row>
    <row r="38" spans="1:11" ht="14">
      <c r="A38" s="7" t="s">
        <v>43</v>
      </c>
      <c r="B38" s="8" t="s">
        <v>327</v>
      </c>
      <c r="C38" s="9"/>
      <c r="D38" s="9"/>
      <c r="E38" s="43"/>
      <c r="F38" s="37" t="s">
        <v>5</v>
      </c>
      <c r="G38" s="256">
        <v>1</v>
      </c>
      <c r="H38" s="12" t="s">
        <v>44</v>
      </c>
      <c r="I38" s="13">
        <v>0</v>
      </c>
      <c r="J38" s="214">
        <v>0</v>
      </c>
      <c r="K38" s="21">
        <v>0</v>
      </c>
    </row>
    <row r="39" spans="1:11" ht="14">
      <c r="A39" s="15" t="s">
        <v>45</v>
      </c>
      <c r="B39" s="16" t="s">
        <v>328</v>
      </c>
      <c r="C39" s="17"/>
      <c r="D39" s="17"/>
      <c r="E39" s="18"/>
      <c r="F39" s="39" t="s">
        <v>5</v>
      </c>
      <c r="G39" s="253">
        <v>1</v>
      </c>
      <c r="H39" s="20">
        <v>30</v>
      </c>
      <c r="I39" s="13">
        <v>0</v>
      </c>
      <c r="J39" s="214">
        <v>0</v>
      </c>
      <c r="K39" s="21">
        <v>0</v>
      </c>
    </row>
    <row r="40" spans="1:11" ht="14">
      <c r="A40" s="15" t="s">
        <v>46</v>
      </c>
      <c r="B40" s="16" t="s">
        <v>329</v>
      </c>
      <c r="C40" s="17"/>
      <c r="D40" s="17"/>
      <c r="E40" s="18"/>
      <c r="F40" s="19" t="s">
        <v>7</v>
      </c>
      <c r="G40" s="253">
        <v>-1</v>
      </c>
      <c r="H40" s="20" t="s">
        <v>44</v>
      </c>
      <c r="I40" s="13">
        <v>0</v>
      </c>
      <c r="J40" s="214">
        <v>0</v>
      </c>
      <c r="K40" s="21">
        <v>0</v>
      </c>
    </row>
    <row r="41" spans="1:11" ht="14">
      <c r="A41" s="22" t="s">
        <v>47</v>
      </c>
      <c r="B41" s="40" t="s">
        <v>330</v>
      </c>
      <c r="C41" s="41"/>
      <c r="D41" s="41"/>
      <c r="E41" s="51"/>
      <c r="F41" s="52" t="s">
        <v>7</v>
      </c>
      <c r="G41" s="254">
        <v>-1</v>
      </c>
      <c r="H41" s="27">
        <v>30</v>
      </c>
      <c r="I41" s="62">
        <v>0</v>
      </c>
      <c r="J41" s="215">
        <v>0</v>
      </c>
      <c r="K41" s="63">
        <v>0</v>
      </c>
    </row>
    <row r="42" spans="1:11" ht="14">
      <c r="A42" s="59" t="s">
        <v>48</v>
      </c>
      <c r="B42" s="29" t="s">
        <v>331</v>
      </c>
      <c r="C42" s="30"/>
      <c r="D42" s="30"/>
      <c r="E42" s="31"/>
      <c r="F42" s="60"/>
      <c r="G42" s="258"/>
      <c r="H42" s="61"/>
      <c r="I42" s="34">
        <f>(I41*G41)+(I40*G40)+(I39*G39)+(I38*G38)</f>
        <v>0</v>
      </c>
      <c r="J42" s="34">
        <f>(J41*G41)+(J40*G40)+(J39*G39)+(J38*G38)</f>
        <v>0</v>
      </c>
      <c r="K42" s="35">
        <f>(K41*G41)+(K40*G40)+(K39*G39)+(K38*G38)</f>
        <v>0</v>
      </c>
    </row>
    <row r="43" spans="1:11" ht="14">
      <c r="A43" s="7" t="s">
        <v>49</v>
      </c>
      <c r="B43" s="8" t="s">
        <v>332</v>
      </c>
      <c r="C43" s="9"/>
      <c r="D43" s="9"/>
      <c r="E43" s="43"/>
      <c r="F43" s="64" t="s">
        <v>7</v>
      </c>
      <c r="G43" s="256">
        <v>-1</v>
      </c>
      <c r="H43" s="12">
        <v>30</v>
      </c>
      <c r="I43" s="65">
        <v>0</v>
      </c>
      <c r="J43" s="213">
        <v>0</v>
      </c>
      <c r="K43" s="66">
        <v>0</v>
      </c>
    </row>
    <row r="44" spans="1:11" ht="14">
      <c r="A44" s="22" t="s">
        <v>50</v>
      </c>
      <c r="B44" s="40" t="s">
        <v>333</v>
      </c>
      <c r="C44" s="41"/>
      <c r="D44" s="41"/>
      <c r="E44" s="51"/>
      <c r="F44" s="52" t="s">
        <v>7</v>
      </c>
      <c r="G44" s="254">
        <v>-1</v>
      </c>
      <c r="H44" s="27"/>
      <c r="I44" s="62">
        <v>8711615</v>
      </c>
      <c r="J44" s="215">
        <v>7997973</v>
      </c>
      <c r="K44" s="63">
        <v>13582000</v>
      </c>
    </row>
    <row r="45" spans="1:11" ht="14.5" thickBot="1">
      <c r="A45" s="67" t="s">
        <v>51</v>
      </c>
      <c r="B45" s="68" t="s">
        <v>334</v>
      </c>
      <c r="C45" s="69"/>
      <c r="D45" s="69"/>
      <c r="E45" s="70"/>
      <c r="F45" s="71"/>
      <c r="G45" s="259"/>
      <c r="H45" s="72"/>
      <c r="I45" s="73">
        <f>+I37+I42+(I43*G43)+(I44*G44)</f>
        <v>29038715</v>
      </c>
      <c r="J45" s="73">
        <f>+J37+J42+(J43*G43)+(J44*G44)</f>
        <v>21233380</v>
      </c>
      <c r="K45" s="74">
        <f>+K37+K42+(K43*G43)+(K44*G44)</f>
        <v>31602000</v>
      </c>
    </row>
  </sheetData>
  <mergeCells count="4">
    <mergeCell ref="A1:A3"/>
    <mergeCell ref="F1:F3"/>
    <mergeCell ref="H1:H3"/>
    <mergeCell ref="G1:G3"/>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2"/>
  <sheetViews>
    <sheetView zoomScale="80" zoomScaleNormal="80" workbookViewId="0">
      <selection sqref="A1:XFD1048576"/>
    </sheetView>
  </sheetViews>
  <sheetFormatPr baseColWidth="10" defaultRowHeight="13"/>
  <cols>
    <col min="4" max="4" width="27.3984375" customWidth="1"/>
    <col min="8" max="8" width="12" bestFit="1" customWidth="1"/>
  </cols>
  <sheetData>
    <row r="1" spans="1:9" ht="23.5">
      <c r="A1" s="230" t="s">
        <v>90</v>
      </c>
    </row>
    <row r="2" spans="1:9">
      <c r="F2" s="280" t="s">
        <v>88</v>
      </c>
      <c r="G2" s="280" t="s">
        <v>87</v>
      </c>
      <c r="H2" s="280" t="s">
        <v>89</v>
      </c>
    </row>
    <row r="3" spans="1:9">
      <c r="A3" s="400" t="s">
        <v>101</v>
      </c>
      <c r="B3" s="401"/>
      <c r="C3" s="401"/>
      <c r="D3" s="401"/>
      <c r="E3" s="401"/>
      <c r="F3" s="231">
        <f>PASSIF!D19-ACTIF!G21</f>
        <v>66601686</v>
      </c>
      <c r="G3" s="231">
        <f>PASSIF!E19-ACTIF!H21</f>
        <v>53121311</v>
      </c>
      <c r="H3" s="281">
        <f>PASSIF!F19-ACTIF!I21</f>
        <v>62394000</v>
      </c>
      <c r="I3" s="245"/>
    </row>
    <row r="4" spans="1:9">
      <c r="A4" s="400" t="s">
        <v>102</v>
      </c>
      <c r="B4" s="401"/>
      <c r="C4" s="401"/>
      <c r="D4" s="401"/>
      <c r="F4" s="231">
        <f>ACTIF!G28-PASSIF!D26</f>
        <v>67599588</v>
      </c>
      <c r="G4" s="231">
        <f>ACTIF!H28-PASSIF!E26</f>
        <v>50685100</v>
      </c>
      <c r="H4" s="281">
        <f>ACTIF!I28-PASSIF!F26</f>
        <v>55159000</v>
      </c>
      <c r="I4" s="245"/>
    </row>
    <row r="5" spans="1:9">
      <c r="A5" s="400" t="s">
        <v>103</v>
      </c>
      <c r="B5" s="401"/>
      <c r="C5" s="401"/>
      <c r="D5" s="401"/>
      <c r="F5" s="247">
        <f>F3-F4</f>
        <v>-997902</v>
      </c>
      <c r="G5" s="231">
        <f>G3-G4</f>
        <v>2436211</v>
      </c>
      <c r="H5" s="281">
        <f>H3-H4</f>
        <v>7235000</v>
      </c>
      <c r="I5" s="245"/>
    </row>
    <row r="6" spans="1:9" ht="80">
      <c r="A6" s="283" t="s">
        <v>104</v>
      </c>
      <c r="B6" s="238"/>
      <c r="C6" s="238"/>
      <c r="D6" s="238"/>
      <c r="F6" s="247">
        <f>('COMPTE DE RESULTAT'!I27+'COMPTE DE RESULTAT'!I4+'COMPTE DE RESULTAT'!I8+'COMPTE DE RESULTAT'!I9+'COMPTE DE RESULTAT'!I10+'COMPTE DE RESULTAT'!I15+'COMPTE DE RESULTAT'!I31+'COMPTE DE RESULTAT'!I32+'COMPTE DE RESULTAT'!I33-'COMPTE DE RESULTAT'!I5-'COMPTE DE RESULTAT'!I17-'COMPTE DE RESULTAT'!I19-'COMPTE DE RESULTAT'!I21-'COMPTE DE RESULTAT'!I22-'COMPTE DE RESULTAT'!I23-'COMPTE DE RESULTAT'!I24-'COMPTE DE RESULTAT'!I26-'COMPTE DE RESULTAT'!I40-'COMPTE DE RESULTAT'!I41-'COMPTE DE RESULTAT'!I34-'COMPTE DE RESULTAT'!I35)</f>
        <v>69013210</v>
      </c>
      <c r="G6" s="247">
        <f>('COMPTE DE RESULTAT'!J27+'COMPTE DE RESULTAT'!J4+'COMPTE DE RESULTAT'!J8+'COMPTE DE RESULTAT'!J9+'COMPTE DE RESULTAT'!J10+'COMPTE DE RESULTAT'!J15+'COMPTE DE RESULTAT'!J31+'COMPTE DE RESULTAT'!J32+'COMPTE DE RESULTAT'!J33-'COMPTE DE RESULTAT'!J5-'COMPTE DE RESULTAT'!J17-'COMPTE DE RESULTAT'!J19-'COMPTE DE RESULTAT'!J21-'COMPTE DE RESULTAT'!J22-'COMPTE DE RESULTAT'!J23-'COMPTE DE RESULTAT'!J24-'COMPTE DE RESULTAT'!J26-'COMPTE DE RESULTAT'!J40-'COMPTE DE RESULTAT'!J41-'COMPTE DE RESULTAT'!J34-'COMPTE DE RESULTAT'!J35)</f>
        <v>55717056</v>
      </c>
      <c r="H6" s="247">
        <f>('COMPTE DE RESULTAT'!K27+'COMPTE DE RESULTAT'!K4+'COMPTE DE RESULTAT'!K8+'COMPTE DE RESULTAT'!K9+'COMPTE DE RESULTAT'!K10+'COMPTE DE RESULTAT'!K15+'COMPTE DE RESULTAT'!K31+'COMPTE DE RESULTAT'!K32+'COMPTE DE RESULTAT'!K33-'COMPTE DE RESULTAT'!K5-'COMPTE DE RESULTAT'!K17-'COMPTE DE RESULTAT'!K19-'COMPTE DE RESULTAT'!K21-'COMPTE DE RESULTAT'!K22-'COMPTE DE RESULTAT'!K23-'COMPTE DE RESULTAT'!K24-'COMPTE DE RESULTAT'!K26-'COMPTE DE RESULTAT'!K40-'COMPTE DE RESULTAT'!K41-'COMPTE DE RESULTAT'!K34-'COMPTE DE RESULTAT'!K35)</f>
        <v>91852000</v>
      </c>
      <c r="I6" s="245"/>
    </row>
    <row r="7" spans="1:9">
      <c r="A7" s="282"/>
      <c r="B7" s="240"/>
      <c r="C7" s="240"/>
      <c r="D7" s="240"/>
      <c r="F7" s="247"/>
      <c r="G7" s="247"/>
      <c r="H7" s="247"/>
      <c r="I7" s="245"/>
    </row>
    <row r="8" spans="1:9">
      <c r="A8" s="282"/>
      <c r="B8" s="240"/>
      <c r="C8" s="240"/>
      <c r="D8" s="240"/>
      <c r="F8" s="247"/>
      <c r="G8" s="247"/>
      <c r="H8" s="247"/>
      <c r="I8" s="245"/>
    </row>
    <row r="9" spans="1:9">
      <c r="A9" s="282"/>
      <c r="B9" s="240"/>
      <c r="C9" s="240"/>
      <c r="D9" s="240"/>
      <c r="F9" s="247"/>
      <c r="G9" s="247"/>
      <c r="H9" s="247"/>
      <c r="I9" s="245"/>
    </row>
    <row r="10" spans="1:9">
      <c r="A10" s="282"/>
      <c r="B10" s="240"/>
      <c r="C10" s="240"/>
      <c r="D10" s="240"/>
      <c r="F10" s="247"/>
      <c r="G10" s="247"/>
      <c r="H10" s="247"/>
      <c r="I10" s="245"/>
    </row>
    <row r="11" spans="1:9">
      <c r="A11" s="282"/>
      <c r="B11" s="240"/>
      <c r="C11" s="240"/>
      <c r="D11" s="240"/>
      <c r="F11" s="247"/>
      <c r="G11" s="247"/>
      <c r="H11" s="247"/>
      <c r="I11" s="245"/>
    </row>
    <row r="12" spans="1:9">
      <c r="A12" s="282"/>
      <c r="B12" s="240"/>
      <c r="C12" s="240"/>
      <c r="D12" s="240"/>
      <c r="F12" s="247"/>
      <c r="G12" s="247"/>
      <c r="H12" s="247"/>
      <c r="I12" s="245"/>
    </row>
    <row r="13" spans="1:9">
      <c r="A13" s="282"/>
      <c r="B13" s="240"/>
      <c r="C13" s="240"/>
      <c r="D13" s="240"/>
      <c r="F13" s="247"/>
      <c r="G13" s="247"/>
      <c r="H13" s="247"/>
      <c r="I13" s="245"/>
    </row>
    <row r="14" spans="1:9">
      <c r="A14" s="282"/>
      <c r="B14" s="240"/>
      <c r="C14" s="240"/>
      <c r="D14" s="240"/>
      <c r="F14" s="247"/>
      <c r="G14" s="247"/>
      <c r="H14" s="247"/>
      <c r="I14" s="245"/>
    </row>
    <row r="15" spans="1:9">
      <c r="A15" s="282"/>
      <c r="B15" s="240"/>
      <c r="C15" s="240"/>
      <c r="D15" s="240"/>
      <c r="F15" s="247"/>
      <c r="G15" s="247"/>
      <c r="H15" s="247"/>
      <c r="I15" s="245"/>
    </row>
    <row r="16" spans="1:9">
      <c r="A16" s="282"/>
      <c r="B16" s="240"/>
      <c r="C16" s="240"/>
      <c r="D16" s="240"/>
      <c r="F16" s="247"/>
      <c r="G16" s="247"/>
      <c r="H16" s="247"/>
      <c r="I16" s="245"/>
    </row>
    <row r="17" spans="1:9">
      <c r="A17" s="282"/>
      <c r="B17" s="240"/>
      <c r="C17" s="240"/>
      <c r="D17" s="240"/>
      <c r="F17" s="247"/>
      <c r="G17" s="247"/>
      <c r="H17" s="247"/>
      <c r="I17" s="245"/>
    </row>
    <row r="18" spans="1:9">
      <c r="A18" s="282"/>
      <c r="B18" s="240"/>
      <c r="C18" s="240"/>
      <c r="D18" s="240"/>
      <c r="F18" s="247"/>
      <c r="G18" s="247"/>
      <c r="H18" s="247"/>
      <c r="I18" s="245"/>
    </row>
    <row r="19" spans="1:9">
      <c r="A19" s="282"/>
      <c r="B19" s="240"/>
      <c r="C19" s="240"/>
      <c r="D19" s="240"/>
      <c r="F19" s="247"/>
      <c r="G19" s="247"/>
      <c r="H19" s="247"/>
      <c r="I19" s="245"/>
    </row>
    <row r="20" spans="1:9">
      <c r="A20" s="282"/>
      <c r="B20" s="240"/>
      <c r="C20" s="240"/>
      <c r="D20" s="240"/>
      <c r="F20" s="247"/>
      <c r="G20" s="247"/>
      <c r="H20" s="247"/>
      <c r="I20" s="245"/>
    </row>
    <row r="21" spans="1:9">
      <c r="A21" s="282"/>
      <c r="B21" s="240"/>
      <c r="C21" s="240"/>
      <c r="D21" s="240"/>
      <c r="F21" s="247"/>
      <c r="G21" s="247"/>
      <c r="H21" s="247"/>
      <c r="I21" s="245"/>
    </row>
    <row r="22" spans="1:9" ht="30.5" customHeight="1">
      <c r="A22" s="237"/>
      <c r="B22" s="238"/>
      <c r="C22" s="238"/>
      <c r="D22" s="238"/>
      <c r="F22" s="231"/>
      <c r="G22" s="231"/>
      <c r="H22" s="231"/>
      <c r="I22" s="245"/>
    </row>
    <row r="23" spans="1:9" ht="30.5" customHeight="1">
      <c r="A23" s="239"/>
      <c r="B23" s="240"/>
      <c r="C23" s="240"/>
      <c r="D23" s="240"/>
      <c r="F23" s="231"/>
      <c r="G23" s="231"/>
      <c r="H23" s="231"/>
      <c r="I23" s="245"/>
    </row>
    <row r="24" spans="1:9">
      <c r="A24" s="237"/>
      <c r="B24" s="238"/>
      <c r="C24" s="238"/>
      <c r="D24" s="238"/>
      <c r="F24" s="231" t="s">
        <v>88</v>
      </c>
      <c r="G24" s="231" t="s">
        <v>87</v>
      </c>
      <c r="H24" s="231" t="s">
        <v>89</v>
      </c>
      <c r="I24" s="245"/>
    </row>
    <row r="25" spans="1:9">
      <c r="A25" s="400" t="s">
        <v>105</v>
      </c>
      <c r="B25" s="401"/>
      <c r="C25" s="401"/>
      <c r="D25" s="401"/>
      <c r="F25" s="244">
        <f>PASSIF!D14/ACTIF!G34</f>
        <v>0.84444938132071257</v>
      </c>
      <c r="G25" s="244">
        <f>PASSIF!E14/PASSIF!E31</f>
        <v>0.76612698477364449</v>
      </c>
      <c r="H25" s="244">
        <f>PASSIF!F14/PASSIF!F31</f>
        <v>0.83611389359031929</v>
      </c>
      <c r="I25" s="245"/>
    </row>
    <row r="26" spans="1:9">
      <c r="A26" s="400" t="s">
        <v>106</v>
      </c>
      <c r="B26" s="401"/>
      <c r="C26" s="401"/>
      <c r="D26" s="401"/>
      <c r="F26" s="244">
        <f>+PASSIF!D14/PASSIF!D19</f>
        <v>1</v>
      </c>
      <c r="G26" s="244">
        <f>+PASSIF!E14/PASSIF!E19</f>
        <v>1</v>
      </c>
      <c r="H26" s="244">
        <f>+PASSIF!F14/PASSIF!F19</f>
        <v>1</v>
      </c>
      <c r="I26" s="246"/>
    </row>
    <row r="27" spans="1:9">
      <c r="A27" s="239"/>
      <c r="B27" s="240"/>
      <c r="C27" s="240"/>
      <c r="D27" s="240"/>
      <c r="F27" s="244"/>
      <c r="G27" s="244"/>
      <c r="H27" s="244"/>
      <c r="I27" s="246"/>
    </row>
    <row r="28" spans="1:9">
      <c r="A28" s="239"/>
      <c r="B28" s="240"/>
      <c r="C28" s="240"/>
      <c r="D28" s="240"/>
      <c r="F28" s="244"/>
      <c r="G28" s="244"/>
      <c r="H28" s="244"/>
      <c r="I28" s="246"/>
    </row>
    <row r="29" spans="1:9">
      <c r="A29" s="239"/>
      <c r="B29" s="240"/>
      <c r="C29" s="240"/>
      <c r="D29" s="240"/>
      <c r="F29" s="244"/>
      <c r="G29" s="244"/>
      <c r="H29" s="244"/>
      <c r="I29" s="246"/>
    </row>
    <row r="30" spans="1:9">
      <c r="A30" s="239"/>
      <c r="B30" s="240"/>
      <c r="C30" s="240"/>
      <c r="D30" s="240"/>
      <c r="F30" s="244"/>
      <c r="G30" s="244"/>
      <c r="H30" s="244"/>
      <c r="I30" s="246"/>
    </row>
    <row r="31" spans="1:9">
      <c r="A31" s="239"/>
      <c r="B31" s="240"/>
      <c r="C31" s="240"/>
      <c r="D31" s="240"/>
      <c r="F31" s="244"/>
      <c r="G31" s="244"/>
      <c r="H31" s="244"/>
      <c r="I31" s="246"/>
    </row>
    <row r="32" spans="1:9">
      <c r="A32" s="239"/>
      <c r="B32" s="240"/>
      <c r="C32" s="240"/>
      <c r="D32" s="240"/>
      <c r="F32" s="244"/>
      <c r="G32" s="244"/>
      <c r="H32" s="244"/>
      <c r="I32" s="246"/>
    </row>
    <row r="33" spans="1:9">
      <c r="A33" s="239"/>
      <c r="B33" s="240"/>
      <c r="C33" s="240"/>
      <c r="D33" s="240"/>
      <c r="F33" s="244"/>
      <c r="G33" s="244"/>
      <c r="H33" s="244"/>
      <c r="I33" s="246"/>
    </row>
    <row r="34" spans="1:9">
      <c r="A34" s="239"/>
      <c r="B34" s="240"/>
      <c r="C34" s="240"/>
      <c r="D34" s="240"/>
      <c r="F34" s="244"/>
      <c r="G34" s="244"/>
      <c r="H34" s="244"/>
      <c r="I34" s="246"/>
    </row>
    <row r="35" spans="1:9">
      <c r="A35" s="239"/>
      <c r="B35" s="240"/>
      <c r="C35" s="240"/>
      <c r="D35" s="240"/>
      <c r="F35" s="244"/>
      <c r="G35" s="244"/>
      <c r="H35" s="244"/>
      <c r="I35" s="246"/>
    </row>
    <row r="36" spans="1:9">
      <c r="A36" s="239"/>
      <c r="B36" s="240"/>
      <c r="C36" s="240"/>
      <c r="D36" s="240"/>
      <c r="F36" s="244"/>
      <c r="G36" s="244"/>
      <c r="H36" s="244"/>
      <c r="I36" s="246"/>
    </row>
    <row r="37" spans="1:9">
      <c r="A37" s="239"/>
      <c r="B37" s="240"/>
      <c r="C37" s="240"/>
      <c r="D37" s="240"/>
      <c r="F37" s="244"/>
      <c r="G37" s="244"/>
      <c r="H37" s="244"/>
      <c r="I37" s="246"/>
    </row>
    <row r="38" spans="1:9">
      <c r="A38" s="239"/>
      <c r="B38" s="240"/>
      <c r="C38" s="240"/>
      <c r="D38" s="240"/>
      <c r="F38" s="244"/>
      <c r="G38" s="244"/>
      <c r="H38" s="244"/>
      <c r="I38" s="246"/>
    </row>
    <row r="39" spans="1:9">
      <c r="A39" s="237"/>
      <c r="B39" s="238"/>
      <c r="C39" s="238"/>
      <c r="D39" s="238"/>
      <c r="F39" s="244"/>
      <c r="G39" s="244"/>
      <c r="H39" s="244"/>
      <c r="I39" s="246"/>
    </row>
    <row r="40" spans="1:9">
      <c r="I40" s="245"/>
    </row>
    <row r="41" spans="1:9" ht="14.5">
      <c r="A41" s="232" t="s">
        <v>100</v>
      </c>
      <c r="F41" s="284" t="s">
        <v>88</v>
      </c>
      <c r="G41" s="284" t="s">
        <v>87</v>
      </c>
      <c r="H41" s="284" t="s">
        <v>89</v>
      </c>
      <c r="I41" s="245"/>
    </row>
    <row r="42" spans="1:9">
      <c r="A42" s="234" t="s">
        <v>107</v>
      </c>
      <c r="B42" s="235"/>
      <c r="C42" s="235"/>
      <c r="D42" s="235"/>
      <c r="E42" s="235"/>
      <c r="F42" s="244">
        <f>'COMPTE DE RESULTAT'!I45/PASSIF!D14</f>
        <v>0.4048523167513971</v>
      </c>
      <c r="G42" s="244">
        <f>'COMPTE DE RESULTAT'!J45/PASSIF!E14</f>
        <v>0.36027670615488644</v>
      </c>
      <c r="H42" s="276">
        <f>'COMPTE DE RESULTAT'!K45/PASSIF!F14</f>
        <v>0.43517536732810974</v>
      </c>
      <c r="I42" s="245"/>
    </row>
    <row r="43" spans="1:9">
      <c r="A43" s="234" t="s">
        <v>108</v>
      </c>
      <c r="B43" s="235"/>
      <c r="C43" s="235"/>
      <c r="D43" s="235"/>
      <c r="E43" s="235"/>
      <c r="F43" s="244">
        <f>('COMPTE DE RESULTAT'!I27+'COMPTE DE RESULTAT'!I4+'COMPTE DE RESULTAT'!I8+'COMPTE DE RESULTAT'!I9+'COMPTE DE RESULTAT'!I10+'COMPTE DE RESULTAT'!I15+'COMPTE DE RESULTAT'!I31+'COMPTE DE RESULTAT'!I32+'COMPTE DE RESULTAT'!I33-'COMPTE DE RESULTAT'!I5-'COMPTE DE RESULTAT'!I17-'COMPTE DE RESULTAT'!I19-'COMPTE DE RESULTAT'!I21-'COMPTE DE RESULTAT'!I22-'COMPTE DE RESULTAT'!I23-'COMPTE DE RESULTAT'!I24-'COMPTE DE RESULTAT'!I26-'COMPTE DE RESULTAT'!I40-'COMPTE DE RESULTAT'!I41-'COMPTE DE RESULTAT'!I34-'COMPTE DE RESULTAT'!I35)/'COMPTE DE RESULTAT'!I11</f>
        <v>0.22395330954560719</v>
      </c>
      <c r="G43" s="244">
        <f>('COMPTE DE RESULTAT'!J27+'COMPTE DE RESULTAT'!J4+'COMPTE DE RESULTAT'!J8+'COMPTE DE RESULTAT'!J9+'COMPTE DE RESULTAT'!J10+'COMPTE DE RESULTAT'!J15+'COMPTE DE RESULTAT'!J31+'COMPTE DE RESULTAT'!J32+'COMPTE DE RESULTAT'!J33-'COMPTE DE RESULTAT'!J5-'COMPTE DE RESULTAT'!J17-'COMPTE DE RESULTAT'!J19-'COMPTE DE RESULTAT'!J21-'COMPTE DE RESULTAT'!J22-'COMPTE DE RESULTAT'!J23-'COMPTE DE RESULTAT'!J24-'COMPTE DE RESULTAT'!J26-'COMPTE DE RESULTAT'!J40-'COMPTE DE RESULTAT'!J41-'COMPTE DE RESULTAT'!J34-'COMPTE DE RESULTAT'!J35)/'COMPTE DE RESULTAT'!J11</f>
        <v>0.24801284233128099</v>
      </c>
      <c r="H43" s="276">
        <f>('COMPTE DE RESULTAT'!K27+'COMPTE DE RESULTAT'!K4+'COMPTE DE RESULTAT'!K8+'COMPTE DE RESULTAT'!K9+'COMPTE DE RESULTAT'!K10+'COMPTE DE RESULTAT'!K15+'COMPTE DE RESULTAT'!K31+'COMPTE DE RESULTAT'!K32+'COMPTE DE RESULTAT'!K33-'COMPTE DE RESULTAT'!K5-'COMPTE DE RESULTAT'!K17-'COMPTE DE RESULTAT'!K19-'COMPTE DE RESULTAT'!K21-'COMPTE DE RESULTAT'!K22-'COMPTE DE RESULTAT'!K23-'COMPTE DE RESULTAT'!K24-'COMPTE DE RESULTAT'!K26-'COMPTE DE RESULTAT'!K40-'COMPTE DE RESULTAT'!K41-'COMPTE DE RESULTAT'!K34-'COMPTE DE RESULTAT'!K35)/'COMPTE DE RESULTAT'!K11</f>
        <v>0.18760429325680905</v>
      </c>
      <c r="I43" s="245"/>
    </row>
    <row r="44" spans="1:9">
      <c r="A44" s="234" t="s">
        <v>109</v>
      </c>
      <c r="B44" s="235"/>
      <c r="C44" s="235"/>
      <c r="D44" s="235"/>
      <c r="E44" s="235"/>
      <c r="F44" s="244">
        <f>'COMPTE DE RESULTAT'!I45/'COMPTE DE RESULTAT'!I11</f>
        <v>9.4232920468438813E-2</v>
      </c>
      <c r="G44" s="244">
        <f>'COMPTE DE RESULTAT'!J45/'COMPTE DE RESULTAT'!J11</f>
        <v>9.4515958023700594E-2</v>
      </c>
      <c r="H44" s="276">
        <f>'COMPTE DE RESULTAT'!K45/'COMPTE DE RESULTAT'!K11</f>
        <v>6.4545909457624007E-2</v>
      </c>
      <c r="I44" s="245"/>
    </row>
    <row r="45" spans="1:9">
      <c r="A45" s="234" t="s">
        <v>110</v>
      </c>
      <c r="B45" s="235"/>
      <c r="C45" s="235"/>
      <c r="D45" s="235"/>
      <c r="E45" s="235"/>
      <c r="F45" s="244">
        <f>'COMPTE DE RESULTAT'!I27/'COMPTE DE RESULTAT'!I11</f>
        <v>0.1247419026520472</v>
      </c>
      <c r="G45" s="244">
        <f>'COMPTE DE RESULTAT'!J27/'COMPTE DE RESULTAT'!J11</f>
        <v>0.13318865598224719</v>
      </c>
      <c r="H45" s="276">
        <f>'COMPTE DE RESULTAT'!K27/'COMPTE DE RESULTAT'!K11</f>
        <v>9.5534155084200531E-2</v>
      </c>
      <c r="I45" s="245"/>
    </row>
    <row r="46" spans="1:9">
      <c r="A46" s="234"/>
      <c r="B46" s="235"/>
      <c r="C46" s="235"/>
      <c r="D46" s="235"/>
      <c r="E46" s="235"/>
      <c r="F46" s="244"/>
      <c r="G46" s="244"/>
      <c r="H46" s="276"/>
      <c r="I46" s="245"/>
    </row>
    <row r="47" spans="1:9">
      <c r="A47" s="234"/>
      <c r="B47" s="235"/>
      <c r="C47" s="235"/>
      <c r="D47" s="235"/>
      <c r="E47" s="235"/>
      <c r="F47" s="244"/>
      <c r="G47" s="244"/>
      <c r="H47" s="276"/>
      <c r="I47" s="245"/>
    </row>
    <row r="48" spans="1:9">
      <c r="A48" s="234"/>
      <c r="B48" s="235"/>
      <c r="C48" s="235"/>
      <c r="D48" s="235"/>
      <c r="E48" s="235"/>
      <c r="F48" s="244"/>
      <c r="G48" s="244"/>
      <c r="H48" s="276"/>
      <c r="I48" s="245"/>
    </row>
    <row r="49" spans="1:9">
      <c r="A49" s="234"/>
      <c r="B49" s="235"/>
      <c r="C49" s="235"/>
      <c r="D49" s="235"/>
      <c r="E49" s="235"/>
      <c r="F49" s="244"/>
      <c r="G49" s="244"/>
      <c r="H49" s="276"/>
      <c r="I49" s="245"/>
    </row>
    <row r="50" spans="1:9">
      <c r="A50" s="234"/>
      <c r="B50" s="235"/>
      <c r="C50" s="235"/>
      <c r="D50" s="235"/>
      <c r="E50" s="235"/>
      <c r="F50" s="244"/>
      <c r="G50" s="244"/>
      <c r="H50" s="276"/>
      <c r="I50" s="245"/>
    </row>
    <row r="51" spans="1:9">
      <c r="A51" s="234"/>
      <c r="B51" s="235"/>
      <c r="C51" s="235"/>
      <c r="D51" s="235"/>
      <c r="E51" s="235"/>
      <c r="F51" s="244"/>
      <c r="G51" s="244"/>
      <c r="H51" s="276"/>
      <c r="I51" s="245"/>
    </row>
    <row r="52" spans="1:9">
      <c r="A52" s="234"/>
      <c r="B52" s="235"/>
      <c r="C52" s="235"/>
      <c r="D52" s="235"/>
      <c r="E52" s="235"/>
      <c r="F52" s="244"/>
      <c r="G52" s="244"/>
      <c r="H52" s="276"/>
      <c r="I52" s="245"/>
    </row>
    <row r="53" spans="1:9">
      <c r="A53" s="234"/>
      <c r="B53" s="235"/>
      <c r="C53" s="235"/>
      <c r="D53" s="235"/>
      <c r="E53" s="235"/>
      <c r="F53" s="244"/>
      <c r="G53" s="244"/>
      <c r="H53" s="276"/>
      <c r="I53" s="245"/>
    </row>
    <row r="54" spans="1:9">
      <c r="A54" s="234"/>
      <c r="B54" s="235"/>
      <c r="C54" s="235"/>
      <c r="D54" s="235"/>
      <c r="E54" s="235"/>
      <c r="F54" s="244"/>
      <c r="G54" s="244"/>
      <c r="H54" s="276"/>
      <c r="I54" s="245"/>
    </row>
    <row r="55" spans="1:9">
      <c r="A55" s="234"/>
      <c r="B55" s="235"/>
      <c r="C55" s="235"/>
      <c r="D55" s="235"/>
      <c r="E55" s="235"/>
      <c r="F55" s="244"/>
      <c r="G55" s="244"/>
      <c r="H55" s="276"/>
      <c r="I55" s="245"/>
    </row>
    <row r="56" spans="1:9">
      <c r="A56" s="234"/>
      <c r="B56" s="235"/>
      <c r="C56" s="235"/>
      <c r="D56" s="235"/>
      <c r="E56" s="235"/>
      <c r="F56" s="244"/>
      <c r="G56" s="244"/>
      <c r="H56" s="276"/>
      <c r="I56" s="245"/>
    </row>
    <row r="57" spans="1:9">
      <c r="A57" s="234"/>
      <c r="B57" s="235"/>
      <c r="C57" s="235"/>
      <c r="D57" s="235"/>
      <c r="E57" s="235"/>
      <c r="F57" s="244"/>
      <c r="G57" s="244"/>
      <c r="H57" s="276"/>
      <c r="I57" s="245"/>
    </row>
    <row r="58" spans="1:9">
      <c r="A58" s="234"/>
      <c r="B58" s="235"/>
      <c r="C58" s="235"/>
      <c r="D58" s="235"/>
      <c r="E58" s="235"/>
      <c r="F58" s="244"/>
      <c r="G58" s="244"/>
      <c r="H58" s="276"/>
      <c r="I58" s="245"/>
    </row>
    <row r="59" spans="1:9">
      <c r="A59" s="234"/>
      <c r="B59" s="235"/>
      <c r="C59" s="235"/>
      <c r="D59" s="235"/>
      <c r="E59" s="235"/>
      <c r="F59" s="244"/>
      <c r="G59" s="244"/>
      <c r="H59" s="276"/>
      <c r="I59" s="245"/>
    </row>
    <row r="60" spans="1:9">
      <c r="A60" s="234"/>
      <c r="B60" s="235"/>
      <c r="C60" s="235"/>
      <c r="D60" s="235"/>
      <c r="E60" s="235"/>
      <c r="F60" s="244"/>
      <c r="G60" s="244"/>
      <c r="H60" s="276"/>
      <c r="I60" s="245"/>
    </row>
    <row r="61" spans="1:9">
      <c r="A61" s="234"/>
      <c r="B61" s="235"/>
      <c r="C61" s="235"/>
      <c r="D61" s="235"/>
      <c r="E61" s="235"/>
      <c r="F61" s="244"/>
      <c r="G61" s="244"/>
      <c r="H61" s="276"/>
      <c r="I61" s="245"/>
    </row>
    <row r="62" spans="1:9">
      <c r="A62" s="234"/>
      <c r="B62" s="235"/>
      <c r="C62" s="235"/>
      <c r="D62" s="235"/>
      <c r="E62" s="235"/>
      <c r="F62" s="244"/>
      <c r="G62" s="244"/>
      <c r="H62" s="276"/>
      <c r="I62" s="245"/>
    </row>
    <row r="63" spans="1:9">
      <c r="A63" s="234"/>
      <c r="B63" s="235"/>
      <c r="C63" s="235"/>
      <c r="D63" s="235"/>
      <c r="E63" s="235"/>
      <c r="F63" s="244"/>
      <c r="G63" s="244"/>
      <c r="H63" s="276"/>
      <c r="I63" s="245"/>
    </row>
    <row r="64" spans="1:9">
      <c r="A64" s="234"/>
      <c r="B64" s="235"/>
      <c r="C64" s="235"/>
      <c r="D64" s="235"/>
      <c r="E64" s="235"/>
      <c r="F64" s="244"/>
      <c r="G64" s="244"/>
      <c r="H64" s="276"/>
      <c r="I64" s="245"/>
    </row>
    <row r="65" spans="1:8" ht="14.5">
      <c r="A65" s="233"/>
      <c r="H65" s="277"/>
    </row>
    <row r="66" spans="1:8" ht="14.5">
      <c r="A66" s="232" t="s">
        <v>96</v>
      </c>
      <c r="F66" s="284" t="s">
        <v>88</v>
      </c>
      <c r="G66" s="284" t="s">
        <v>87</v>
      </c>
      <c r="H66" s="284" t="s">
        <v>89</v>
      </c>
    </row>
    <row r="67" spans="1:8">
      <c r="A67" s="234" t="s">
        <v>111</v>
      </c>
      <c r="B67" s="235"/>
      <c r="C67" s="235"/>
      <c r="D67" s="235"/>
      <c r="F67" s="244">
        <f>ACTIF!G28/PASSIF!D26</f>
        <v>8.5442499742199356</v>
      </c>
      <c r="G67" s="244">
        <f>ACTIF!H28/PASSIF!E26</f>
        <v>4.3779930435540644</v>
      </c>
      <c r="H67" s="278">
        <f>ACTIF!I28/PASSIF!F26</f>
        <v>4.875158072221442</v>
      </c>
    </row>
    <row r="68" spans="1:8">
      <c r="A68" s="234" t="s">
        <v>112</v>
      </c>
      <c r="B68" s="235"/>
      <c r="C68" s="235"/>
      <c r="D68" s="235"/>
      <c r="F68" s="244">
        <f>(ACTIF!G24+ACTIF!G32)/PASSIF!D26</f>
        <v>3.068943704820716</v>
      </c>
      <c r="G68" s="244">
        <f>(ACTIF!H24+ACTIF!H32)/PASSIF!E26</f>
        <v>1.777136807148735</v>
      </c>
      <c r="H68" s="278">
        <f>(ACTIF!I24+ACTIF!I32)/PASSIF!F26</f>
        <v>2.6678375720106788</v>
      </c>
    </row>
    <row r="69" spans="1:8">
      <c r="A69" s="234" t="s">
        <v>113</v>
      </c>
      <c r="B69" s="235"/>
      <c r="C69" s="235"/>
      <c r="D69" s="235"/>
      <c r="F69" s="244">
        <f>ACTIF!G32/PASSIF!D26</f>
        <v>0.36315294430657874</v>
      </c>
      <c r="G69" s="244">
        <f>ACTIF!H32/PASSIF!E26</f>
        <v>0.36142488177380905</v>
      </c>
      <c r="H69" s="278">
        <f>ACTIF!I32/PASSIF!F26</f>
        <v>0.50829000983560491</v>
      </c>
    </row>
    <row r="70" spans="1:8">
      <c r="A70" s="234"/>
      <c r="B70" s="235"/>
      <c r="C70" s="235"/>
      <c r="D70" s="235"/>
      <c r="F70" s="244"/>
      <c r="G70" s="244"/>
      <c r="H70" s="278"/>
    </row>
    <row r="71" spans="1:8">
      <c r="A71" s="234"/>
      <c r="B71" s="235"/>
      <c r="C71" s="235"/>
      <c r="D71" s="235"/>
      <c r="F71" s="244"/>
      <c r="G71" s="244"/>
      <c r="H71" s="278"/>
    </row>
    <row r="72" spans="1:8">
      <c r="A72" s="234"/>
      <c r="B72" s="235"/>
      <c r="C72" s="235"/>
      <c r="D72" s="235"/>
      <c r="F72" s="244"/>
      <c r="G72" s="244"/>
      <c r="H72" s="278"/>
    </row>
    <row r="73" spans="1:8">
      <c r="A73" s="234"/>
      <c r="B73" s="235"/>
      <c r="C73" s="235"/>
      <c r="D73" s="235"/>
      <c r="F73" s="244"/>
      <c r="G73" s="244"/>
      <c r="H73" s="278"/>
    </row>
    <row r="74" spans="1:8">
      <c r="A74" s="234"/>
      <c r="B74" s="235"/>
      <c r="C74" s="235"/>
      <c r="D74" s="235"/>
      <c r="F74" s="244"/>
      <c r="G74" s="244"/>
      <c r="H74" s="278"/>
    </row>
    <row r="75" spans="1:8">
      <c r="A75" s="234"/>
      <c r="B75" s="235"/>
      <c r="C75" s="235"/>
      <c r="D75" s="235"/>
      <c r="F75" s="244"/>
      <c r="G75" s="244"/>
      <c r="H75" s="278"/>
    </row>
    <row r="76" spans="1:8">
      <c r="A76" s="234"/>
      <c r="B76" s="235"/>
      <c r="C76" s="235"/>
      <c r="D76" s="235"/>
      <c r="F76" s="244"/>
      <c r="G76" s="244"/>
      <c r="H76" s="278"/>
    </row>
    <row r="77" spans="1:8">
      <c r="A77" s="234"/>
      <c r="B77" s="235"/>
      <c r="C77" s="235"/>
      <c r="D77" s="235"/>
      <c r="F77" s="244"/>
      <c r="G77" s="244"/>
      <c r="H77" s="278"/>
    </row>
    <row r="78" spans="1:8">
      <c r="A78" s="234"/>
      <c r="B78" s="235"/>
      <c r="C78" s="235"/>
      <c r="D78" s="235"/>
      <c r="F78" s="244"/>
      <c r="G78" s="244"/>
      <c r="H78" s="278"/>
    </row>
    <row r="79" spans="1:8">
      <c r="A79" s="234"/>
      <c r="B79" s="235"/>
      <c r="C79" s="235"/>
      <c r="D79" s="235"/>
      <c r="F79" s="244"/>
      <c r="G79" s="244"/>
      <c r="H79" s="278"/>
    </row>
    <row r="80" spans="1:8">
      <c r="A80" s="234"/>
      <c r="B80" s="235"/>
      <c r="C80" s="235"/>
      <c r="D80" s="235"/>
      <c r="F80" s="244"/>
      <c r="G80" s="244"/>
      <c r="H80" s="278"/>
    </row>
    <row r="81" spans="1:8">
      <c r="A81" s="234"/>
      <c r="B81" s="235"/>
      <c r="C81" s="235"/>
      <c r="D81" s="235"/>
      <c r="F81" s="244"/>
      <c r="G81" s="244"/>
      <c r="H81" s="278"/>
    </row>
    <row r="82" spans="1:8">
      <c r="A82" s="234"/>
      <c r="B82" s="235"/>
      <c r="C82" s="235"/>
      <c r="D82" s="235"/>
      <c r="F82" s="244"/>
      <c r="G82" s="244"/>
      <c r="H82" s="278"/>
    </row>
    <row r="83" spans="1:8">
      <c r="A83" s="234"/>
      <c r="B83" s="235"/>
      <c r="C83" s="235"/>
      <c r="D83" s="235"/>
      <c r="F83" s="244"/>
      <c r="G83" s="244"/>
      <c r="H83" s="278"/>
    </row>
    <row r="84" spans="1:8">
      <c r="A84" s="234"/>
      <c r="B84" s="235"/>
      <c r="C84" s="235"/>
      <c r="D84" s="235"/>
      <c r="F84" s="244"/>
      <c r="G84" s="244"/>
      <c r="H84" s="278"/>
    </row>
    <row r="85" spans="1:8">
      <c r="A85" s="234"/>
      <c r="B85" s="235"/>
      <c r="C85" s="235"/>
      <c r="D85" s="235"/>
      <c r="F85" s="244"/>
      <c r="G85" s="244"/>
      <c r="H85" s="278"/>
    </row>
    <row r="86" spans="1:8">
      <c r="A86" s="234"/>
      <c r="B86" s="235"/>
      <c r="C86" s="235"/>
      <c r="D86" s="235"/>
      <c r="F86" s="244"/>
      <c r="G86" s="244"/>
      <c r="H86" s="278"/>
    </row>
    <row r="87" spans="1:8">
      <c r="A87" s="234"/>
      <c r="B87" s="235"/>
      <c r="C87" s="235"/>
      <c r="D87" s="235"/>
      <c r="F87" s="244"/>
      <c r="G87" s="244"/>
      <c r="H87" s="278"/>
    </row>
    <row r="88" spans="1:8">
      <c r="A88" s="234"/>
      <c r="B88" s="235"/>
      <c r="C88" s="235"/>
      <c r="D88" s="235"/>
      <c r="F88" s="244"/>
      <c r="G88" s="244"/>
      <c r="H88" s="278"/>
    </row>
    <row r="89" spans="1:8">
      <c r="A89" s="234"/>
      <c r="B89" s="235"/>
      <c r="C89" s="235"/>
      <c r="D89" s="235"/>
      <c r="F89" s="244"/>
      <c r="G89" s="244"/>
      <c r="H89" s="278"/>
    </row>
    <row r="90" spans="1:8">
      <c r="A90" s="234"/>
      <c r="B90" s="235"/>
      <c r="C90" s="235"/>
      <c r="D90" s="235"/>
      <c r="F90" s="244"/>
      <c r="G90" s="244"/>
      <c r="H90" s="278"/>
    </row>
    <row r="91" spans="1:8">
      <c r="A91" s="235"/>
      <c r="B91" s="235"/>
      <c r="C91" s="235"/>
      <c r="D91" s="235"/>
      <c r="H91" s="277"/>
    </row>
    <row r="92" spans="1:8">
      <c r="A92" s="236" t="s">
        <v>93</v>
      </c>
      <c r="F92" s="284" t="s">
        <v>88</v>
      </c>
      <c r="G92" s="284" t="s">
        <v>87</v>
      </c>
      <c r="H92" s="284" t="s">
        <v>89</v>
      </c>
    </row>
    <row r="93" spans="1:8">
      <c r="A93" t="s">
        <v>114</v>
      </c>
      <c r="F93" s="248">
        <f>((ACTIF!G24/('COMPTE DE RESULTAT'!I11+'COMPTE DE RESULTAT'!I15+'COMPTE DE RESULTAT'!I16+'COMPTE DE RESULTAT'!I14+'COMPTE DE RESULTAT'!I13))*365)</f>
        <v>28.717082082193173</v>
      </c>
      <c r="G93" s="248">
        <f>((ACTIF!H24/('COMPTE DE RESULTAT'!J11+'COMPTE DE RESULTAT'!J15+'COMPTE DE RESULTAT'!J16+'COMPTE DE RESULTAT'!J14+'COMPTE DE RESULTAT'!J13))*365)</f>
        <v>34.512412637011025</v>
      </c>
      <c r="H93" s="279">
        <f>((ACTIF!I24/('COMPTE DE RESULTAT'!K11+'COMPTE DE RESULTAT'!K15+'COMPTE DE RESULTAT'!K16+'COMPTE DE RESULTAT'!K14+'COMPTE DE RESULTAT'!K13))*365)</f>
        <v>22.915891381828207</v>
      </c>
    </row>
    <row r="94" spans="1:8">
      <c r="A94" t="s">
        <v>115</v>
      </c>
      <c r="F94" s="248">
        <f>(PASSIF!D26/('COMPTE DE RESULTAT'!I5+'COMPTE DE RESULTAT'!I17+'COMPTE DE RESULTAT'!I19))*365</f>
        <v>12.363329542109284</v>
      </c>
      <c r="G94" s="248">
        <f>(PASSIF!E26/('COMPTE DE RESULTAT'!J5+'COMPTE DE RESULTAT'!J17+'COMPTE DE RESULTAT'!J19))*365</f>
        <v>29.471721693767261</v>
      </c>
      <c r="H94" s="279">
        <f>(PASSIF!F26/('COMPTE DE RESULTAT'!K5+'COMPTE DE RESULTAT'!K17+'COMPTE DE RESULTAT'!K19))*365</f>
        <v>12.50188897177371</v>
      </c>
    </row>
    <row r="95" spans="1:8">
      <c r="A95" t="s">
        <v>116</v>
      </c>
      <c r="F95" s="248">
        <f>('COMPTE DE RESULTAT'!I11+'COMPTE DE RESULTAT'!I13+'COMPTE DE RESULTAT'!I14+'COMPTE DE RESULTAT'!I15+'COMPTE DE RESULTAT'!I16)/ACTIF!G24</f>
        <v>12.710204990719737</v>
      </c>
      <c r="G95" s="248">
        <f>('COMPTE DE RESULTAT'!J11+'COMPTE DE RESULTAT'!J13+'COMPTE DE RESULTAT'!J14+'COMPTE DE RESULTAT'!J15+'COMPTE DE RESULTAT'!J16)/ACTIF!H24</f>
        <v>10.575905076209448</v>
      </c>
      <c r="H95" s="279">
        <f>('COMPTE DE RESULTAT'!K11+'COMPTE DE RESULTAT'!K13+'COMPTE DE RESULTAT'!K14+'COMPTE DE RESULTAT'!K15+'COMPTE DE RESULTAT'!K16)/ACTIF!I24</f>
        <v>15.927811574872312</v>
      </c>
    </row>
    <row r="96" spans="1:8">
      <c r="A96" t="s">
        <v>117</v>
      </c>
      <c r="F96" s="248">
        <f>('COMPTE DE RESULTAT'!I11+'COMPTE DE RESULTAT'!I13+'COMPTE DE RESULTAT'!I14+'COMPTE DE RESULTAT'!I15+'COMPTE DE RESULTAT'!I16)/ACTIF!G23</f>
        <v>5.8904505399980884</v>
      </c>
      <c r="G96" s="248">
        <f>('COMPTE DE RESULTAT'!J11+'COMPTE DE RESULTAT'!J13+'COMPTE DE RESULTAT'!J14+'COMPTE DE RESULTAT'!J15+'COMPTE DE RESULTAT'!J16)/ACTIF!H23</f>
        <v>5.0543599141010018</v>
      </c>
      <c r="H96" s="279">
        <f>('COMPTE DE RESULTAT'!K11+'COMPTE DE RESULTAT'!K13+'COMPTE DE RESULTAT'!K14+'COMPTE DE RESULTAT'!K15+'COMPTE DE RESULTAT'!K16)/ACTIF!I23</f>
        <v>12.666347596626482</v>
      </c>
    </row>
    <row r="97" spans="1:8">
      <c r="A97" t="s">
        <v>118</v>
      </c>
      <c r="F97" s="248">
        <f>('COMPTE DE RESULTAT'!I11+'COMPTE DE RESULTAT'!I13+'COMPTE DE RESULTAT'!I14+'COMPTE DE RESULTAT'!I15+'COMPTE DE RESULTAT'!I16)/ACTIF!G21</f>
        <v>60.128569756097562</v>
      </c>
      <c r="G97" s="248">
        <f>('COMPTE DE RESULTAT'!J11+'COMPTE DE RESULTAT'!J13+'COMPTE DE RESULTAT'!J14+'COMPTE DE RESULTAT'!J15+'COMPTE DE RESULTAT'!J16)/ACTIF!H21</f>
        <v>38.63351934651763</v>
      </c>
      <c r="H97" s="279">
        <f>('COMPTE DE RESULTAT'!K11+'COMPTE DE RESULTAT'!K13+'COMPTE DE RESULTAT'!K14+'COMPTE DE RESULTAT'!K15+'COMPTE DE RESULTAT'!K16)/ACTIF!I21</f>
        <v>47.883129584352076</v>
      </c>
    </row>
    <row r="98" spans="1:8">
      <c r="F98" s="248"/>
      <c r="G98" s="248"/>
      <c r="H98" s="279"/>
    </row>
    <row r="99" spans="1:8">
      <c r="F99" s="248"/>
      <c r="G99" s="248"/>
      <c r="H99" s="279"/>
    </row>
    <row r="100" spans="1:8">
      <c r="F100" s="248"/>
      <c r="G100" s="248"/>
      <c r="H100" s="279"/>
    </row>
    <row r="101" spans="1:8">
      <c r="F101" s="248"/>
      <c r="G101" s="248"/>
      <c r="H101" s="279"/>
    </row>
    <row r="102" spans="1:8">
      <c r="F102" s="248"/>
      <c r="G102" s="248"/>
      <c r="H102" s="279"/>
    </row>
    <row r="103" spans="1:8">
      <c r="F103" s="248"/>
      <c r="G103" s="248"/>
      <c r="H103" s="279"/>
    </row>
    <row r="104" spans="1:8">
      <c r="F104" s="248"/>
      <c r="G104" s="248"/>
      <c r="H104" s="279"/>
    </row>
    <row r="105" spans="1:8">
      <c r="F105" s="248"/>
      <c r="G105" s="248"/>
      <c r="H105" s="279"/>
    </row>
    <row r="106" spans="1:8">
      <c r="F106" s="248"/>
      <c r="G106" s="248"/>
      <c r="H106" s="279"/>
    </row>
    <row r="107" spans="1:8">
      <c r="F107" s="248"/>
      <c r="G107" s="248"/>
      <c r="H107" s="279"/>
    </row>
    <row r="108" spans="1:8">
      <c r="F108" s="248"/>
      <c r="G108" s="248"/>
      <c r="H108" s="279"/>
    </row>
    <row r="109" spans="1:8">
      <c r="F109" s="248"/>
      <c r="G109" s="248"/>
      <c r="H109" s="279"/>
    </row>
    <row r="110" spans="1:8">
      <c r="F110" s="248"/>
      <c r="G110" s="248"/>
      <c r="H110" s="279"/>
    </row>
    <row r="111" spans="1:8">
      <c r="F111" s="248"/>
      <c r="G111" s="248"/>
      <c r="H111" s="279"/>
    </row>
    <row r="112" spans="1:8">
      <c r="F112" s="248"/>
      <c r="G112" s="248"/>
      <c r="H112" s="279"/>
    </row>
    <row r="113" spans="1:8">
      <c r="F113" s="248"/>
      <c r="G113" s="248"/>
      <c r="H113" s="279"/>
    </row>
    <row r="114" spans="1:8">
      <c r="F114" s="248"/>
      <c r="G114" s="248"/>
      <c r="H114" s="279"/>
    </row>
    <row r="115" spans="1:8">
      <c r="F115" s="248"/>
      <c r="G115" s="248"/>
      <c r="H115" s="279"/>
    </row>
    <row r="116" spans="1:8">
      <c r="F116" s="248"/>
      <c r="G116" s="248"/>
      <c r="H116" s="279"/>
    </row>
    <row r="117" spans="1:8">
      <c r="F117" s="248"/>
      <c r="G117" s="248"/>
      <c r="H117" s="279"/>
    </row>
    <row r="118" spans="1:8">
      <c r="F118" s="248"/>
      <c r="G118" s="248"/>
      <c r="H118" s="279"/>
    </row>
    <row r="119" spans="1:8">
      <c r="F119" s="248"/>
      <c r="G119" s="248"/>
      <c r="H119" s="279"/>
    </row>
    <row r="120" spans="1:8">
      <c r="F120" s="248"/>
      <c r="G120" s="248"/>
      <c r="H120" s="279"/>
    </row>
    <row r="121" spans="1:8">
      <c r="H121" s="277"/>
    </row>
    <row r="122" spans="1:8">
      <c r="A122" s="236" t="s">
        <v>94</v>
      </c>
      <c r="F122" s="284" t="s">
        <v>88</v>
      </c>
      <c r="G122" s="284" t="s">
        <v>87</v>
      </c>
      <c r="H122" s="284" t="s">
        <v>89</v>
      </c>
    </row>
    <row r="123" spans="1:8">
      <c r="A123" t="s">
        <v>119</v>
      </c>
      <c r="F123" s="244">
        <f>(PASSIF!D15+PASSIF!D26)/ACTIF!G34</f>
        <v>0.10549231801645886</v>
      </c>
      <c r="G123" s="244">
        <f>(PASSIF!E15+PASSIF!E26)/ACTIF!H34</f>
        <v>0.19504704169833659</v>
      </c>
      <c r="H123" s="278">
        <f>(PASSIF!F15+PASSIF!F26)/ACTIF!I34</f>
        <v>0.16388610640968074</v>
      </c>
    </row>
    <row r="124" spans="1:8">
      <c r="A124" t="s">
        <v>120</v>
      </c>
      <c r="F124" s="244">
        <f>PASSIF!D15/ACTIF!G21</f>
        <v>0</v>
      </c>
      <c r="G124" s="244">
        <f>PASSIF!E15/ACTIF!H21</f>
        <v>0</v>
      </c>
      <c r="H124" s="278">
        <f>PASSIF!F15/ACTIF!I21</f>
        <v>0</v>
      </c>
    </row>
    <row r="125" spans="1:8">
      <c r="A125" t="s">
        <v>121</v>
      </c>
      <c r="F125" s="244">
        <f>PASSIF!D26/ACTIF!G21</f>
        <v>1.7483730731707317</v>
      </c>
      <c r="G125" s="244">
        <f>PASSIF!E26/ACTIF!H21</f>
        <v>2.5803097162510746</v>
      </c>
      <c r="H125" s="278">
        <f>PASSIF!F26/ACTIF!I21</f>
        <v>1.3920782396088021</v>
      </c>
    </row>
    <row r="126" spans="1:8">
      <c r="A126" t="s">
        <v>122</v>
      </c>
      <c r="F126" s="244" t="e">
        <f>'COMPTE DE RESULTAT'!I37/'COMPTE DE RESULTAT'!I34</f>
        <v>#DIV/0!</v>
      </c>
      <c r="G126" s="244" t="e">
        <f>'COMPTE DE RESULTAT'!J37/'COMPTE DE RESULTAT'!J34</f>
        <v>#DIV/0!</v>
      </c>
      <c r="H126" s="278" t="e">
        <f>'COMPTE DE RESULTAT'!K37/'COMPTE DE RESULTAT'!K34</f>
        <v>#DIV/0!</v>
      </c>
    </row>
    <row r="127" spans="1:8">
      <c r="F127" s="244"/>
      <c r="G127" s="244"/>
      <c r="H127" s="278"/>
    </row>
    <row r="128" spans="1:8">
      <c r="F128" s="244"/>
      <c r="G128" s="244"/>
      <c r="H128" s="278"/>
    </row>
    <row r="129" spans="6:8">
      <c r="F129" s="244"/>
      <c r="G129" s="244"/>
      <c r="H129" s="278"/>
    </row>
    <row r="130" spans="6:8">
      <c r="F130" s="244"/>
      <c r="G130" s="244"/>
      <c r="H130" s="278"/>
    </row>
    <row r="131" spans="6:8">
      <c r="F131" s="244"/>
      <c r="G131" s="244"/>
      <c r="H131" s="278"/>
    </row>
    <row r="132" spans="6:8">
      <c r="F132" s="244"/>
      <c r="G132" s="244"/>
      <c r="H132" s="278"/>
    </row>
    <row r="133" spans="6:8">
      <c r="F133" s="244"/>
      <c r="G133" s="244"/>
      <c r="H133" s="278"/>
    </row>
    <row r="134" spans="6:8">
      <c r="F134" s="244"/>
      <c r="G134" s="244"/>
      <c r="H134" s="278"/>
    </row>
    <row r="135" spans="6:8">
      <c r="F135" s="244"/>
      <c r="G135" s="244"/>
      <c r="H135" s="278"/>
    </row>
    <row r="136" spans="6:8">
      <c r="F136" s="244"/>
      <c r="G136" s="244"/>
      <c r="H136" s="278"/>
    </row>
    <row r="137" spans="6:8">
      <c r="F137" s="244"/>
      <c r="G137" s="244"/>
      <c r="H137" s="278"/>
    </row>
    <row r="138" spans="6:8">
      <c r="F138" s="244"/>
      <c r="G138" s="244"/>
      <c r="H138" s="278"/>
    </row>
    <row r="139" spans="6:8">
      <c r="F139" s="244"/>
      <c r="G139" s="244"/>
      <c r="H139" s="278"/>
    </row>
    <row r="140" spans="6:8">
      <c r="F140" s="244"/>
      <c r="G140" s="244"/>
      <c r="H140" s="278"/>
    </row>
    <row r="141" spans="6:8">
      <c r="F141" s="244"/>
      <c r="G141" s="244"/>
      <c r="H141" s="278"/>
    </row>
    <row r="142" spans="6:8">
      <c r="F142" s="244"/>
      <c r="G142" s="244"/>
      <c r="H142" s="278"/>
    </row>
    <row r="143" spans="6:8">
      <c r="F143" s="244"/>
      <c r="G143" s="244"/>
      <c r="H143" s="278"/>
    </row>
    <row r="144" spans="6:8">
      <c r="F144" s="244"/>
      <c r="G144" s="244"/>
      <c r="H144" s="278"/>
    </row>
    <row r="145" spans="1:8">
      <c r="F145" s="244"/>
      <c r="G145" s="244"/>
      <c r="H145" s="278"/>
    </row>
    <row r="146" spans="1:8">
      <c r="H146" s="277"/>
    </row>
    <row r="147" spans="1:8">
      <c r="A147" s="236" t="s">
        <v>95</v>
      </c>
      <c r="F147" s="284" t="s">
        <v>88</v>
      </c>
      <c r="G147" s="284" t="s">
        <v>87</v>
      </c>
      <c r="H147" s="284" t="s">
        <v>89</v>
      </c>
    </row>
    <row r="148" spans="1:8">
      <c r="A148" t="s">
        <v>123</v>
      </c>
      <c r="F148" s="244">
        <f>+ACTIF!G28/PASSIF!D26</f>
        <v>8.5442499742199356</v>
      </c>
      <c r="G148" s="244">
        <f>+ACTIF!H28/PASSIF!E26</f>
        <v>4.3779930435540644</v>
      </c>
      <c r="H148" s="278">
        <f>(ACTIF!I26+ACTIF!I27)/(PASSIF!F22+PASSIF!F23+PASSIF!F24)</f>
        <v>2.1595475621750739</v>
      </c>
    </row>
    <row r="149" spans="1:8">
      <c r="A149" t="s">
        <v>124</v>
      </c>
      <c r="F149" s="244">
        <f>(ACTIF!G28-ACTIF!G23)/PASSIF!D26</f>
        <v>2.7057907605141369</v>
      </c>
      <c r="G149" s="244">
        <f>(ACTIF!H28-ACTIF!H23)/PASSIF!E26</f>
        <v>1.4157119253749257</v>
      </c>
      <c r="H149" s="278">
        <f>(ACTIF!I28-ACTIF!I23)/PASSIF!F26</f>
        <v>2.1595475621750739</v>
      </c>
    </row>
    <row r="150" spans="1:8">
      <c r="A150" t="s">
        <v>125</v>
      </c>
      <c r="F150" s="244">
        <f>ACTIF!G18/ACTIF!G34</f>
        <v>3.531946455691732E-2</v>
      </c>
      <c r="G150" s="244">
        <f>ACTIF!H18/ACTIF!H34</f>
        <v>3.8997706427891854E-2</v>
      </c>
      <c r="H150" s="278">
        <f>ACTIF!I18/ACTIF!I34</f>
        <v>3.4541121204794308E-2</v>
      </c>
    </row>
    <row r="151" spans="1:8">
      <c r="A151" t="s">
        <v>126</v>
      </c>
      <c r="F151" s="244">
        <f>PASSIF!D18/PASSIF!D14</f>
        <v>0</v>
      </c>
      <c r="G151" s="244">
        <f>PASSIF!E18/PASSIF!E14</f>
        <v>0</v>
      </c>
      <c r="H151" s="278">
        <f>PASSIF!F18/PASSIF!F14</f>
        <v>0</v>
      </c>
    </row>
    <row r="152" spans="1:8">
      <c r="A152" t="s">
        <v>127</v>
      </c>
      <c r="F152" s="244">
        <f>ACTIF!G28/PASSIF!D26</f>
        <v>8.5442499742199356</v>
      </c>
      <c r="G152" s="244">
        <f>ACTIF!H28/PASSIF!E26</f>
        <v>4.3779930435540644</v>
      </c>
      <c r="H152" s="278">
        <f>ACTIF!I28/PASSIF!F26</f>
        <v>4.875158072221442</v>
      </c>
    </row>
  </sheetData>
  <mergeCells count="5">
    <mergeCell ref="A3:E3"/>
    <mergeCell ref="A4:D4"/>
    <mergeCell ref="A5:D5"/>
    <mergeCell ref="A25:D25"/>
    <mergeCell ref="A26:D26"/>
  </mergeCells>
  <pageMargins left="0.7" right="0.7" top="0.75" bottom="0.75" header="0.3" footer="0.3"/>
  <pageSetup paperSize="9"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6"/>
  <sheetViews>
    <sheetView zoomScale="50" zoomScaleNormal="50" workbookViewId="0">
      <selection activeCell="G15" sqref="G15"/>
    </sheetView>
  </sheetViews>
  <sheetFormatPr baseColWidth="10" defaultRowHeight="13"/>
  <cols>
    <col min="9" max="9" width="6.69921875" customWidth="1"/>
    <col min="10" max="10" width="19.09765625" customWidth="1"/>
    <col min="11" max="11" width="8.59765625" customWidth="1"/>
    <col min="12" max="12" width="7.296875" customWidth="1"/>
    <col min="13" max="13" width="8.3984375" customWidth="1"/>
    <col min="14" max="14" width="7.69921875" customWidth="1"/>
    <col min="15" max="15" width="8.69921875" customWidth="1"/>
    <col min="16" max="16" width="8.3984375" customWidth="1"/>
    <col min="17" max="17" width="7.3984375" customWidth="1"/>
    <col min="18" max="18" width="6.69921875" customWidth="1"/>
    <col min="19" max="19" width="6.3984375" customWidth="1"/>
    <col min="20" max="20" width="8.3984375" customWidth="1"/>
    <col min="21" max="21" width="5.296875" customWidth="1"/>
    <col min="22" max="22" width="5.09765625" customWidth="1"/>
  </cols>
  <sheetData>
    <row r="1" spans="1:20" s="285" customFormat="1" ht="21">
      <c r="A1" s="408" t="s">
        <v>335</v>
      </c>
      <c r="B1" s="409"/>
      <c r="C1" s="409"/>
      <c r="D1" s="409"/>
      <c r="E1" s="409"/>
      <c r="F1" s="409"/>
      <c r="G1" s="409"/>
      <c r="H1" s="410"/>
      <c r="I1"/>
    </row>
    <row r="2" spans="1:20" s="285" customFormat="1" ht="14">
      <c r="A2" s="286"/>
      <c r="B2" s="287"/>
      <c r="C2" s="287"/>
      <c r="D2" s="287"/>
      <c r="E2" s="287"/>
      <c r="F2" s="287"/>
      <c r="G2" s="287"/>
      <c r="H2" s="288"/>
      <c r="I2"/>
    </row>
    <row r="3" spans="1:20" s="285" customFormat="1" ht="13.5">
      <c r="A3" s="289" t="s">
        <v>128</v>
      </c>
      <c r="B3" s="290"/>
      <c r="C3" s="291"/>
      <c r="D3" s="292"/>
      <c r="E3" s="293" t="s">
        <v>129</v>
      </c>
      <c r="F3" s="293" t="s">
        <v>130</v>
      </c>
      <c r="G3" s="293" t="s">
        <v>130</v>
      </c>
      <c r="H3" s="293" t="s">
        <v>131</v>
      </c>
      <c r="I3" s="294"/>
    </row>
    <row r="4" spans="1:20" s="285" customFormat="1" ht="13.5">
      <c r="A4" s="295"/>
      <c r="B4" s="296"/>
      <c r="C4" s="297"/>
      <c r="D4" s="298" t="s">
        <v>189</v>
      </c>
      <c r="E4" s="295"/>
      <c r="F4" s="295"/>
      <c r="G4" s="299" t="s">
        <v>170</v>
      </c>
      <c r="H4" s="299" t="s">
        <v>132</v>
      </c>
      <c r="I4" s="294"/>
    </row>
    <row r="5" spans="1:20" s="285" customFormat="1" ht="13.5">
      <c r="A5" s="300" t="s">
        <v>133</v>
      </c>
      <c r="B5" s="301" t="s">
        <v>164</v>
      </c>
      <c r="C5" s="301"/>
      <c r="D5" s="301"/>
      <c r="E5" s="302">
        <v>0.56999999999999995</v>
      </c>
      <c r="F5" s="303"/>
      <c r="G5" s="303"/>
      <c r="H5" s="303">
        <v>0.56999999999999995</v>
      </c>
      <c r="I5" s="294"/>
    </row>
    <row r="6" spans="1:20" s="285" customFormat="1" ht="14">
      <c r="A6" s="304" t="s">
        <v>134</v>
      </c>
      <c r="B6" t="s">
        <v>336</v>
      </c>
      <c r="C6"/>
      <c r="D6"/>
      <c r="E6" s="304">
        <v>5.3499999999999999E-2</v>
      </c>
      <c r="F6" s="305">
        <f>(+E33)</f>
        <v>0</v>
      </c>
      <c r="G6" s="305">
        <f>IF(F6&lt;0,0,IF(F6&gt;100,100,F6))</f>
        <v>0</v>
      </c>
      <c r="H6" s="305">
        <f t="shared" ref="H6:H11" si="0">+E6*G6</f>
        <v>0</v>
      </c>
      <c r="I6"/>
    </row>
    <row r="7" spans="1:20" s="285" customFormat="1" ht="14">
      <c r="A7" s="304" t="s">
        <v>135</v>
      </c>
      <c r="B7" t="s">
        <v>337</v>
      </c>
      <c r="C7"/>
      <c r="D7"/>
      <c r="E7" s="304">
        <v>1.15E-2</v>
      </c>
      <c r="F7" s="305">
        <f>(+E37)</f>
        <v>208.13159602473874</v>
      </c>
      <c r="G7" s="305">
        <f>IF(F7&lt;0,0,IF(F7&gt;200,200,F7))</f>
        <v>200</v>
      </c>
      <c r="H7" s="305">
        <f t="shared" si="0"/>
        <v>2.2999999999999998</v>
      </c>
      <c r="I7"/>
      <c r="L7" s="419" t="s">
        <v>183</v>
      </c>
      <c r="M7" s="420"/>
      <c r="N7" s="420"/>
      <c r="O7" s="420"/>
      <c r="P7" s="420"/>
      <c r="Q7" s="420"/>
    </row>
    <row r="8" spans="1:20" s="285" customFormat="1" ht="14">
      <c r="A8" s="304" t="s">
        <v>136</v>
      </c>
      <c r="B8" t="s">
        <v>338</v>
      </c>
      <c r="C8"/>
      <c r="D8"/>
      <c r="E8" s="304">
        <v>3.7100000000000001E-2</v>
      </c>
      <c r="F8" s="305">
        <f>(+E41)</f>
        <v>84.444938132071258</v>
      </c>
      <c r="G8" s="305">
        <f>IF(F8&lt;-25,-25,IF(F8&gt;100,100,F8))</f>
        <v>84.444938132071258</v>
      </c>
      <c r="H8" s="305">
        <f t="shared" si="0"/>
        <v>3.1329072046998436</v>
      </c>
      <c r="I8"/>
      <c r="L8" s="420"/>
      <c r="M8" s="420"/>
      <c r="N8" s="420"/>
      <c r="O8" s="420"/>
      <c r="P8" s="420"/>
      <c r="Q8" s="420"/>
    </row>
    <row r="9" spans="1:20" s="285" customFormat="1" ht="14.5" thickBot="1">
      <c r="A9" s="304" t="s">
        <v>137</v>
      </c>
      <c r="B9" t="s">
        <v>167</v>
      </c>
      <c r="C9"/>
      <c r="D9"/>
      <c r="E9" s="304">
        <v>2.46E-2</v>
      </c>
      <c r="F9" s="305">
        <f>(+E45)</f>
        <v>14.096729700376676</v>
      </c>
      <c r="G9" s="305">
        <f>IF(F9&lt;0,0,IF(F9&gt;100,100,F9))</f>
        <v>14.096729700376676</v>
      </c>
      <c r="H9" s="305">
        <f t="shared" si="0"/>
        <v>0.34677955062926624</v>
      </c>
      <c r="I9"/>
      <c r="M9" s="421" t="s">
        <v>88</v>
      </c>
      <c r="N9" s="422"/>
    </row>
    <row r="10" spans="1:20" s="285" customFormat="1" ht="14.5" thickTop="1">
      <c r="A10" s="304" t="s">
        <v>138</v>
      </c>
      <c r="B10" t="s">
        <v>339</v>
      </c>
      <c r="C10"/>
      <c r="D10"/>
      <c r="E10" s="304">
        <v>1.15E-2</v>
      </c>
      <c r="F10" s="305">
        <f>+E49</f>
        <v>89.439565792870766</v>
      </c>
      <c r="G10" s="305">
        <f>IF(F10&lt;-100,-100,IF(F10&gt;100,100,F10))</f>
        <v>89.439565792870766</v>
      </c>
      <c r="H10" s="305">
        <f t="shared" si="0"/>
        <v>1.0285550066180138</v>
      </c>
      <c r="I10"/>
      <c r="J10" s="423" t="s">
        <v>233</v>
      </c>
      <c r="K10" s="424"/>
      <c r="L10" s="424"/>
      <c r="M10" s="424"/>
      <c r="N10" s="424"/>
      <c r="O10" s="424"/>
      <c r="P10" s="424"/>
      <c r="Q10" s="424"/>
      <c r="R10" s="424"/>
      <c r="S10" s="424"/>
      <c r="T10" s="424"/>
    </row>
    <row r="11" spans="1:20" s="285" customFormat="1" ht="15" customHeight="1" thickBot="1">
      <c r="A11" s="355" t="s">
        <v>139</v>
      </c>
      <c r="B11" s="356" t="s">
        <v>340</v>
      </c>
      <c r="C11" s="356"/>
      <c r="D11" s="356"/>
      <c r="E11" s="355">
        <v>9.5999999999999992E-3</v>
      </c>
      <c r="F11" s="357">
        <f>+E53</f>
        <v>77.805980628436785</v>
      </c>
      <c r="G11" s="357">
        <f>IF(F11&lt;-100,-100,IF(F11&gt;150,150,F11))</f>
        <v>77.805980628436785</v>
      </c>
      <c r="H11" s="357">
        <f t="shared" si="0"/>
        <v>0.74693741403299307</v>
      </c>
      <c r="I11"/>
      <c r="J11" s="424"/>
      <c r="K11" s="424"/>
      <c r="L11" s="424"/>
      <c r="M11" s="424"/>
      <c r="N11" s="424"/>
      <c r="O11" s="424"/>
      <c r="P11" s="424"/>
      <c r="Q11" s="424"/>
      <c r="R11" s="424"/>
      <c r="S11" s="424"/>
      <c r="T11" s="424"/>
    </row>
    <row r="12" spans="1:20" s="285" customFormat="1" ht="14">
      <c r="A12" s="353"/>
      <c r="B12" s="353"/>
      <c r="C12" s="353"/>
      <c r="D12" s="353"/>
      <c r="E12" s="353"/>
      <c r="F12" s="354"/>
      <c r="G12" s="354"/>
      <c r="H12" s="354"/>
      <c r="I12"/>
      <c r="J12" s="424"/>
      <c r="K12" s="424"/>
      <c r="L12" s="424"/>
      <c r="M12" s="424"/>
      <c r="N12" s="424"/>
      <c r="O12" s="424"/>
      <c r="P12" s="424"/>
      <c r="Q12" s="424"/>
      <c r="R12" s="424"/>
      <c r="S12" s="424"/>
      <c r="T12" s="424"/>
    </row>
    <row r="13" spans="1:20" s="285" customFormat="1" ht="14.5" thickBot="1">
      <c r="A13" s="353"/>
      <c r="B13" s="353"/>
      <c r="C13" s="353"/>
      <c r="D13" s="353"/>
      <c r="E13" s="353"/>
      <c r="F13" s="354"/>
      <c r="G13" s="354"/>
      <c r="H13" s="354"/>
      <c r="I13"/>
      <c r="J13" s="425"/>
      <c r="K13" s="425"/>
      <c r="L13" s="425"/>
      <c r="M13" s="425"/>
      <c r="N13" s="425"/>
      <c r="O13" s="425"/>
      <c r="P13" s="425"/>
      <c r="Q13" s="425"/>
      <c r="R13" s="425"/>
      <c r="S13" s="425"/>
      <c r="T13" s="425"/>
    </row>
    <row r="14" spans="1:20" s="285" customFormat="1" ht="42" customHeight="1" thickTop="1" thickBot="1">
      <c r="A14" s="353"/>
      <c r="B14" s="353"/>
      <c r="C14" s="353"/>
      <c r="D14" s="353"/>
      <c r="E14" s="353"/>
      <c r="F14" s="353"/>
      <c r="G14" s="353"/>
      <c r="H14" s="353"/>
      <c r="I14"/>
      <c r="J14" s="331" t="s">
        <v>163</v>
      </c>
      <c r="K14" s="411" t="s">
        <v>160</v>
      </c>
      <c r="L14" s="412"/>
      <c r="M14" s="413"/>
      <c r="N14" s="414" t="s">
        <v>161</v>
      </c>
      <c r="O14" s="415"/>
      <c r="P14" s="416" t="s">
        <v>162</v>
      </c>
      <c r="Q14" s="417"/>
      <c r="R14" s="417"/>
      <c r="S14" s="417"/>
      <c r="T14" s="418"/>
    </row>
    <row r="15" spans="1:20" s="285" customFormat="1" ht="37.25" customHeight="1" thickTop="1" thickBot="1">
      <c r="A15"/>
      <c r="B15"/>
      <c r="C15"/>
      <c r="D15"/>
      <c r="E15"/>
      <c r="F15"/>
      <c r="G15"/>
      <c r="H15"/>
      <c r="I15"/>
      <c r="J15" s="332">
        <v>0</v>
      </c>
      <c r="K15" s="333">
        <v>1</v>
      </c>
      <c r="L15" s="333">
        <v>2</v>
      </c>
      <c r="M15" s="333">
        <v>3</v>
      </c>
      <c r="N15" s="334">
        <v>4</v>
      </c>
      <c r="O15" s="334">
        <v>5</v>
      </c>
      <c r="P15" s="335">
        <v>6</v>
      </c>
      <c r="Q15" s="335">
        <v>7</v>
      </c>
      <c r="R15" s="335">
        <v>8</v>
      </c>
      <c r="S15" s="335">
        <v>9</v>
      </c>
      <c r="T15" s="335">
        <v>10</v>
      </c>
    </row>
    <row r="16" spans="1:20" s="285" customFormat="1" ht="14.5" thickTop="1">
      <c r="A16" t="s">
        <v>171</v>
      </c>
      <c r="B16"/>
      <c r="C16"/>
      <c r="D16"/>
      <c r="E16"/>
      <c r="F16"/>
      <c r="G16"/>
      <c r="H16"/>
      <c r="I16"/>
    </row>
    <row r="17" spans="1:22" s="285" customFormat="1" ht="14.5" thickBot="1">
      <c r="A17"/>
      <c r="B17"/>
      <c r="C17"/>
      <c r="D17"/>
      <c r="E17"/>
      <c r="F17"/>
      <c r="G17"/>
      <c r="H17"/>
      <c r="I17"/>
    </row>
    <row r="18" spans="1:22" s="285" customFormat="1" ht="15" thickTop="1" thickBot="1">
      <c r="A18"/>
      <c r="B18"/>
      <c r="C18"/>
      <c r="D18"/>
      <c r="E18"/>
      <c r="F18" s="307" t="s">
        <v>172</v>
      </c>
      <c r="G18" s="308"/>
      <c r="H18" s="309">
        <f>SUM(H5:H11)</f>
        <v>8.1251791759801169</v>
      </c>
      <c r="I18"/>
      <c r="J18" s="337" t="s">
        <v>184</v>
      </c>
      <c r="K18" s="337"/>
      <c r="M18" s="338">
        <f>H18</f>
        <v>8.1251791759801169</v>
      </c>
    </row>
    <row r="19" spans="1:22" s="285" customFormat="1" ht="15" thickTop="1" thickBot="1">
      <c r="A19" s="306"/>
      <c r="B19" s="306"/>
      <c r="C19" s="306"/>
      <c r="D19" s="306"/>
      <c r="E19" s="306"/>
      <c r="F19" s="306"/>
      <c r="G19" s="306"/>
      <c r="H19" s="306"/>
      <c r="I19"/>
      <c r="J19" s="337" t="s">
        <v>185</v>
      </c>
      <c r="K19" s="337"/>
      <c r="M19" s="336"/>
    </row>
    <row r="20" spans="1:22" s="285" customFormat="1" ht="15.5" thickTop="1" thickBot="1">
      <c r="A20" s="310" t="s">
        <v>173</v>
      </c>
      <c r="B20" s="311"/>
      <c r="C20" s="312" t="s">
        <v>174</v>
      </c>
      <c r="D20" s="313"/>
      <c r="E20" s="310" t="s">
        <v>140</v>
      </c>
      <c r="F20" s="311"/>
      <c r="G20" s="311"/>
      <c r="H20" s="314"/>
      <c r="I20"/>
      <c r="J20" s="337" t="s">
        <v>186</v>
      </c>
      <c r="K20" s="337"/>
      <c r="M20" s="336"/>
    </row>
    <row r="21" spans="1:22" s="285" customFormat="1" ht="15.5" thickTop="1" thickBot="1">
      <c r="A21" s="315"/>
      <c r="B21" s="316"/>
      <c r="C21" s="315"/>
      <c r="D21" s="316"/>
      <c r="E21" s="315"/>
      <c r="F21" s="316"/>
      <c r="G21" s="316"/>
      <c r="H21" s="317"/>
      <c r="I21"/>
    </row>
    <row r="22" spans="1:22" s="285" customFormat="1" ht="15" thickTop="1" thickBot="1">
      <c r="A22" s="318" t="s">
        <v>141</v>
      </c>
      <c r="B22" s="319"/>
      <c r="C22" s="320" t="s">
        <v>142</v>
      </c>
      <c r="D22" s="319"/>
      <c r="E22" s="321"/>
      <c r="F22"/>
      <c r="G22"/>
      <c r="H22" s="322"/>
      <c r="I22"/>
      <c r="J22" s="337" t="s">
        <v>190</v>
      </c>
      <c r="K22" s="337"/>
      <c r="M22" s="336"/>
    </row>
    <row r="23" spans="1:22" s="285" customFormat="1" ht="15" thickTop="1" thickBot="1">
      <c r="A23" s="320" t="s">
        <v>143</v>
      </c>
      <c r="B23" s="319"/>
      <c r="C23" s="320" t="s">
        <v>144</v>
      </c>
      <c r="D23" s="319"/>
      <c r="E23" s="321" t="s">
        <v>175</v>
      </c>
      <c r="F23"/>
      <c r="G23"/>
      <c r="H23" s="322"/>
      <c r="I23"/>
      <c r="J23" s="337" t="s">
        <v>187</v>
      </c>
      <c r="K23" s="337"/>
      <c r="M23" s="336"/>
    </row>
    <row r="24" spans="1:22" s="285" customFormat="1" ht="15" thickTop="1" thickBot="1">
      <c r="A24" s="323" t="s">
        <v>145</v>
      </c>
      <c r="B24" s="324"/>
      <c r="C24" s="325">
        <v>4.96</v>
      </c>
      <c r="D24" s="324"/>
      <c r="E24" s="326"/>
      <c r="F24" s="306"/>
      <c r="G24" s="306"/>
      <c r="H24" s="327"/>
      <c r="I24"/>
      <c r="J24" s="337" t="s">
        <v>188</v>
      </c>
      <c r="K24" s="337"/>
      <c r="M24" s="336"/>
    </row>
    <row r="25" spans="1:22" s="285" customFormat="1" ht="14.5" thickTop="1">
      <c r="A25" s="320" t="s">
        <v>146</v>
      </c>
      <c r="B25" s="319"/>
      <c r="C25" s="318">
        <v>3.29</v>
      </c>
      <c r="D25" s="319"/>
      <c r="E25" s="321"/>
      <c r="F25"/>
      <c r="G25"/>
      <c r="H25" s="322"/>
      <c r="I25"/>
    </row>
    <row r="26" spans="1:22" s="285" customFormat="1" ht="14">
      <c r="A26" s="320" t="s">
        <v>147</v>
      </c>
      <c r="B26" s="319"/>
      <c r="C26" s="318">
        <v>2.15</v>
      </c>
      <c r="D26" s="319"/>
      <c r="E26" s="321" t="s">
        <v>176</v>
      </c>
      <c r="F26"/>
      <c r="G26"/>
      <c r="H26" s="322"/>
      <c r="I26"/>
      <c r="J26" s="404" t="s">
        <v>191</v>
      </c>
      <c r="K26" s="405"/>
      <c r="L26" s="406"/>
      <c r="M26" s="407"/>
      <c r="N26" s="407"/>
      <c r="O26" s="407"/>
      <c r="P26" s="407"/>
      <c r="Q26" s="407"/>
      <c r="R26" s="407"/>
      <c r="S26" s="407"/>
      <c r="T26" s="407"/>
      <c r="U26" s="407"/>
      <c r="V26" s="407"/>
    </row>
    <row r="27" spans="1:22" s="285" customFormat="1" ht="14">
      <c r="A27" s="323" t="s">
        <v>148</v>
      </c>
      <c r="B27" s="324"/>
      <c r="C27" s="325">
        <v>1.57</v>
      </c>
      <c r="D27" s="324"/>
      <c r="E27" s="326"/>
      <c r="F27" s="306"/>
      <c r="G27" s="306"/>
      <c r="H27" s="327"/>
      <c r="I27"/>
      <c r="J27" s="405"/>
      <c r="K27" s="405"/>
      <c r="L27" s="407"/>
      <c r="M27" s="407"/>
      <c r="N27" s="407"/>
      <c r="O27" s="407"/>
      <c r="P27" s="407"/>
      <c r="Q27" s="407"/>
      <c r="R27" s="407"/>
      <c r="S27" s="407"/>
      <c r="T27" s="407"/>
      <c r="U27" s="407"/>
      <c r="V27" s="407"/>
    </row>
    <row r="28" spans="1:22" s="285" customFormat="1" ht="14">
      <c r="A28" s="320" t="s">
        <v>149</v>
      </c>
      <c r="B28" s="319"/>
      <c r="C28" s="318">
        <v>1.06</v>
      </c>
      <c r="D28" s="319"/>
      <c r="E28" s="321"/>
      <c r="F28"/>
      <c r="G28"/>
      <c r="H28" s="322"/>
      <c r="I28"/>
      <c r="J28" s="402" t="s">
        <v>234</v>
      </c>
      <c r="K28" s="403"/>
      <c r="L28" s="403"/>
      <c r="M28" s="403"/>
      <c r="N28" s="403"/>
      <c r="O28" s="403"/>
      <c r="P28" s="403"/>
      <c r="Q28" s="403"/>
      <c r="R28" s="403"/>
      <c r="S28" s="403"/>
      <c r="T28" s="403"/>
      <c r="U28" s="403"/>
      <c r="V28" s="403"/>
    </row>
    <row r="29" spans="1:22" s="285" customFormat="1" ht="14">
      <c r="A29" s="320" t="s">
        <v>150</v>
      </c>
      <c r="B29" s="319"/>
      <c r="C29" s="318">
        <v>0.64</v>
      </c>
      <c r="D29" s="319"/>
      <c r="E29" s="321" t="s">
        <v>177</v>
      </c>
      <c r="F29"/>
      <c r="G29"/>
      <c r="H29" s="322"/>
      <c r="I29"/>
      <c r="J29" s="403"/>
      <c r="K29" s="403"/>
      <c r="L29" s="403"/>
      <c r="M29" s="403"/>
      <c r="N29" s="403"/>
      <c r="O29" s="403"/>
      <c r="P29" s="403"/>
      <c r="Q29" s="403"/>
      <c r="R29" s="403"/>
      <c r="S29" s="403"/>
      <c r="T29" s="403"/>
      <c r="U29" s="403"/>
      <c r="V29" s="403"/>
    </row>
    <row r="30" spans="1:22" s="285" customFormat="1" ht="14">
      <c r="A30" s="320" t="s">
        <v>151</v>
      </c>
      <c r="B30" s="319"/>
      <c r="C30" s="318">
        <v>0.38</v>
      </c>
      <c r="D30" s="319"/>
      <c r="E30" s="321"/>
      <c r="F30"/>
      <c r="G30"/>
      <c r="H30" s="322"/>
      <c r="I30"/>
      <c r="J30" s="403"/>
      <c r="K30" s="403"/>
      <c r="L30" s="403"/>
      <c r="M30" s="403"/>
      <c r="N30" s="403"/>
      <c r="O30" s="403"/>
      <c r="P30" s="403"/>
      <c r="Q30" s="403"/>
      <c r="R30" s="403"/>
      <c r="S30" s="403"/>
      <c r="T30" s="403"/>
      <c r="U30" s="403"/>
      <c r="V30" s="403"/>
    </row>
    <row r="31" spans="1:22" s="285" customFormat="1" ht="14">
      <c r="A31" s="323" t="s">
        <v>152</v>
      </c>
      <c r="B31" s="324"/>
      <c r="C31" s="323" t="s">
        <v>153</v>
      </c>
      <c r="D31" s="324"/>
      <c r="E31" s="326"/>
      <c r="F31" s="306"/>
      <c r="G31" s="306"/>
      <c r="H31" s="327"/>
      <c r="I31"/>
      <c r="J31" s="403"/>
      <c r="K31" s="403"/>
      <c r="L31" s="403"/>
      <c r="M31" s="403"/>
      <c r="N31" s="403"/>
      <c r="O31" s="403"/>
      <c r="P31" s="403"/>
      <c r="Q31" s="403"/>
      <c r="R31" s="403"/>
      <c r="S31" s="403"/>
      <c r="T31" s="403"/>
      <c r="U31" s="403"/>
      <c r="V31" s="403"/>
    </row>
    <row r="32" spans="1:22" s="285" customFormat="1" ht="14">
      <c r="A32"/>
      <c r="B32"/>
      <c r="C32"/>
      <c r="D32"/>
      <c r="E32"/>
      <c r="F32"/>
      <c r="G32"/>
      <c r="H32"/>
      <c r="I32"/>
      <c r="J32" s="403"/>
      <c r="K32" s="403"/>
      <c r="L32" s="403"/>
      <c r="M32" s="403"/>
      <c r="N32" s="403"/>
      <c r="O32" s="403"/>
      <c r="P32" s="403"/>
      <c r="Q32" s="403"/>
      <c r="R32" s="403"/>
      <c r="S32" s="403"/>
      <c r="T32" s="403"/>
      <c r="U32" s="403"/>
      <c r="V32" s="403"/>
    </row>
    <row r="33" spans="1:22" s="285" customFormat="1" ht="14">
      <c r="A33" t="s">
        <v>165</v>
      </c>
      <c r="B33"/>
      <c r="C33"/>
      <c r="D33"/>
      <c r="E33">
        <f>(+B34/B35)*100</f>
        <v>0</v>
      </c>
      <c r="F33"/>
      <c r="G33"/>
      <c r="H33"/>
      <c r="I33"/>
      <c r="J33" s="403"/>
      <c r="K33" s="403"/>
      <c r="L33" s="403"/>
      <c r="M33" s="403"/>
      <c r="N33" s="403"/>
      <c r="O33" s="403"/>
      <c r="P33" s="403"/>
      <c r="Q33" s="403"/>
      <c r="R33" s="403"/>
      <c r="S33" s="403"/>
      <c r="T33" s="403"/>
      <c r="U33" s="403"/>
      <c r="V33" s="403"/>
    </row>
    <row r="34" spans="1:22" s="285" customFormat="1" ht="14">
      <c r="A34" t="s">
        <v>154</v>
      </c>
      <c r="B34">
        <f>'COMPTE DE RESULTAT'!I34</f>
        <v>0</v>
      </c>
      <c r="C34"/>
      <c r="D34"/>
      <c r="E34"/>
      <c r="F34"/>
      <c r="G34"/>
      <c r="H34"/>
      <c r="I34"/>
      <c r="J34" s="403"/>
      <c r="K34" s="403"/>
      <c r="L34" s="403"/>
      <c r="M34" s="403"/>
      <c r="N34" s="403"/>
      <c r="O34" s="403"/>
      <c r="P34" s="403"/>
      <c r="Q34" s="403"/>
      <c r="R34" s="403"/>
      <c r="S34" s="403"/>
      <c r="T34" s="403"/>
      <c r="U34" s="403"/>
      <c r="V34" s="403"/>
    </row>
    <row r="35" spans="1:22" s="285" customFormat="1" ht="14">
      <c r="A35" t="s">
        <v>155</v>
      </c>
      <c r="B35">
        <f>'COMPTE DE RESULTAT'!I27</f>
        <v>38440330</v>
      </c>
      <c r="C35"/>
      <c r="D35"/>
      <c r="E35"/>
      <c r="F35"/>
      <c r="G35"/>
      <c r="H35"/>
      <c r="I35"/>
      <c r="J35" s="403"/>
      <c r="K35" s="403"/>
      <c r="L35" s="403"/>
      <c r="M35" s="403"/>
      <c r="N35" s="403"/>
      <c r="O35" s="403"/>
      <c r="P35" s="403"/>
      <c r="Q35" s="403"/>
      <c r="R35" s="403"/>
      <c r="S35" s="403"/>
      <c r="T35" s="403"/>
      <c r="U35" s="403"/>
      <c r="V35" s="403"/>
    </row>
    <row r="36" spans="1:22" s="285" customFormat="1" ht="14">
      <c r="A36"/>
      <c r="B36"/>
      <c r="C36"/>
      <c r="D36"/>
      <c r="E36"/>
      <c r="F36"/>
      <c r="G36"/>
      <c r="H36"/>
      <c r="I36"/>
      <c r="J36" s="403"/>
      <c r="K36" s="403"/>
      <c r="L36" s="403"/>
      <c r="M36" s="403"/>
      <c r="N36" s="403"/>
      <c r="O36" s="403"/>
      <c r="P36" s="403"/>
      <c r="Q36" s="403"/>
      <c r="R36" s="403"/>
      <c r="S36" s="403"/>
      <c r="T36" s="403"/>
      <c r="U36" s="403"/>
      <c r="V36" s="403"/>
    </row>
    <row r="37" spans="1:22" s="285" customFormat="1" ht="14">
      <c r="A37" t="s">
        <v>178</v>
      </c>
      <c r="B37"/>
      <c r="C37"/>
      <c r="D37"/>
      <c r="E37">
        <f>(+B38/B39)*100</f>
        <v>208.13159602473874</v>
      </c>
      <c r="F37"/>
      <c r="G37"/>
      <c r="H37"/>
      <c r="I37"/>
    </row>
    <row r="38" spans="1:22" s="285" customFormat="1" ht="14">
      <c r="A38" t="s">
        <v>156</v>
      </c>
      <c r="B38" s="330">
        <f>ACTIF!G24+ACTIF!G32</f>
        <v>27499000</v>
      </c>
      <c r="C38"/>
      <c r="D38"/>
      <c r="E38"/>
      <c r="F38"/>
      <c r="G38"/>
      <c r="H38"/>
      <c r="I38"/>
    </row>
    <row r="39" spans="1:22" s="285" customFormat="1" ht="14">
      <c r="A39" t="s">
        <v>179</v>
      </c>
      <c r="B39" s="330">
        <f>PASSIF!D26+PASSIF!D29</f>
        <v>13212314</v>
      </c>
      <c r="C39"/>
      <c r="D39"/>
      <c r="E39"/>
      <c r="F39"/>
      <c r="G39"/>
      <c r="H39"/>
      <c r="I39"/>
    </row>
    <row r="40" spans="1:22" s="285" customFormat="1" ht="14">
      <c r="A40"/>
      <c r="B40"/>
      <c r="C40"/>
      <c r="D40"/>
      <c r="E40"/>
      <c r="F40"/>
      <c r="G40"/>
      <c r="H40"/>
      <c r="I40"/>
    </row>
    <row r="41" spans="1:22" s="285" customFormat="1" ht="14">
      <c r="A41" t="s">
        <v>166</v>
      </c>
      <c r="B41"/>
      <c r="C41"/>
      <c r="D41"/>
      <c r="E41">
        <f>(+B42/B43)*100</f>
        <v>84.444938132071258</v>
      </c>
      <c r="F41"/>
      <c r="G41"/>
      <c r="H41"/>
      <c r="I41"/>
    </row>
    <row r="42" spans="1:22" s="285" customFormat="1" ht="14">
      <c r="A42" t="s">
        <v>180</v>
      </c>
      <c r="B42">
        <f>PASSIF!D19</f>
        <v>71726686</v>
      </c>
      <c r="C42"/>
      <c r="D42"/>
      <c r="E42"/>
      <c r="F42"/>
      <c r="G42"/>
      <c r="H42"/>
      <c r="I42"/>
    </row>
    <row r="43" spans="1:22" s="285" customFormat="1" ht="14">
      <c r="A43" t="s">
        <v>181</v>
      </c>
      <c r="B43" s="330">
        <f>PASSIF!D31</f>
        <v>84939000</v>
      </c>
      <c r="C43"/>
      <c r="D43"/>
      <c r="E43"/>
      <c r="F43"/>
      <c r="G43"/>
      <c r="H43"/>
      <c r="I43"/>
    </row>
    <row r="44" spans="1:22" s="285" customFormat="1" ht="14">
      <c r="A44"/>
      <c r="B44"/>
      <c r="C44"/>
      <c r="D44"/>
      <c r="E44"/>
      <c r="F44"/>
      <c r="G44"/>
      <c r="H44"/>
      <c r="I44"/>
    </row>
    <row r="45" spans="1:22" s="285" customFormat="1" ht="14">
      <c r="A45" t="s">
        <v>167</v>
      </c>
      <c r="B45"/>
      <c r="C45"/>
      <c r="D45"/>
      <c r="E45">
        <f>(+B46/B47)*100</f>
        <v>14.096729700376676</v>
      </c>
      <c r="F45"/>
      <c r="G45"/>
      <c r="H45"/>
      <c r="I45"/>
    </row>
    <row r="46" spans="1:22" s="285" customFormat="1" ht="14">
      <c r="A46" t="s">
        <v>157</v>
      </c>
      <c r="B46">
        <f>'COMPTE DE RESULTAT'!I25</f>
        <v>43440330</v>
      </c>
      <c r="C46"/>
      <c r="D46"/>
      <c r="E46"/>
      <c r="F46"/>
      <c r="G46"/>
      <c r="H46"/>
      <c r="I46"/>
    </row>
    <row r="47" spans="1:22" s="285" customFormat="1" ht="14">
      <c r="A47" t="s">
        <v>54</v>
      </c>
      <c r="B47">
        <f>'COMPTE DE RESULTAT'!I11</f>
        <v>308158920</v>
      </c>
      <c r="C47"/>
      <c r="D47"/>
      <c r="E47"/>
      <c r="F47"/>
      <c r="G47"/>
      <c r="H47"/>
      <c r="I47"/>
    </row>
    <row r="48" spans="1:22" s="285" customFormat="1" ht="14">
      <c r="A48"/>
      <c r="B48"/>
      <c r="C48"/>
      <c r="D48"/>
      <c r="E48"/>
      <c r="F48"/>
      <c r="G48"/>
      <c r="H48"/>
      <c r="I48"/>
    </row>
    <row r="49" spans="1:9" s="285" customFormat="1" ht="14">
      <c r="A49" t="s">
        <v>168</v>
      </c>
      <c r="B49"/>
      <c r="C49"/>
      <c r="D49"/>
      <c r="E49">
        <f>(+B50/B51)</f>
        <v>89.439565792870766</v>
      </c>
      <c r="F49"/>
      <c r="G49"/>
      <c r="H49"/>
      <c r="I49"/>
    </row>
    <row r="50" spans="1:9" s="285" customFormat="1" ht="14">
      <c r="A50" t="s">
        <v>182</v>
      </c>
      <c r="B50" s="330">
        <f>ACTIF!G28</f>
        <v>76560000</v>
      </c>
      <c r="C50"/>
      <c r="D50"/>
      <c r="E50"/>
      <c r="F50"/>
      <c r="G50"/>
      <c r="H50"/>
      <c r="I50"/>
    </row>
    <row r="51" spans="1:9" s="285" customFormat="1" ht="14">
      <c r="A51" t="s">
        <v>158</v>
      </c>
      <c r="B51">
        <f>+B47/360</f>
        <v>855997</v>
      </c>
      <c r="C51"/>
      <c r="D51"/>
      <c r="E51"/>
      <c r="F51"/>
      <c r="G51"/>
      <c r="H51"/>
      <c r="I51"/>
    </row>
    <row r="52" spans="1:9" s="285" customFormat="1" ht="14">
      <c r="A52"/>
      <c r="B52"/>
      <c r="C52"/>
      <c r="D52"/>
      <c r="E52"/>
      <c r="F52"/>
      <c r="G52"/>
      <c r="H52"/>
      <c r="I52"/>
    </row>
    <row r="53" spans="1:9" s="285" customFormat="1" ht="14">
      <c r="A53" t="s">
        <v>169</v>
      </c>
      <c r="B53"/>
      <c r="C53"/>
      <c r="D53"/>
      <c r="E53">
        <f>(+B54/B55)</f>
        <v>77.805980628436785</v>
      </c>
      <c r="F53"/>
      <c r="G53"/>
      <c r="H53"/>
      <c r="I53"/>
    </row>
    <row r="54" spans="1:9" s="285" customFormat="1" ht="14">
      <c r="A54" t="s">
        <v>159</v>
      </c>
      <c r="B54" s="330">
        <f>PASSIF!D14-ACTIF!G21</f>
        <v>66601686</v>
      </c>
      <c r="C54"/>
      <c r="D54"/>
      <c r="E54"/>
      <c r="F54"/>
      <c r="G54"/>
      <c r="H54"/>
      <c r="I54"/>
    </row>
    <row r="55" spans="1:9" s="285" customFormat="1" ht="14">
      <c r="A55" t="s">
        <v>158</v>
      </c>
      <c r="B55">
        <f>+B51</f>
        <v>855997</v>
      </c>
      <c r="C55"/>
      <c r="D55"/>
      <c r="E55"/>
      <c r="F55"/>
      <c r="G55"/>
      <c r="H55"/>
      <c r="I55"/>
    </row>
    <row r="56" spans="1:9" s="285" customFormat="1" ht="13.5">
      <c r="A56" s="328"/>
      <c r="B56" s="329"/>
      <c r="C56" s="329"/>
      <c r="D56" s="329"/>
      <c r="E56" s="329"/>
    </row>
  </sheetData>
  <mergeCells count="10">
    <mergeCell ref="J28:V36"/>
    <mergeCell ref="J26:K27"/>
    <mergeCell ref="L26:V27"/>
    <mergeCell ref="A1:H1"/>
    <mergeCell ref="K14:M14"/>
    <mergeCell ref="N14:O14"/>
    <mergeCell ref="P14:T14"/>
    <mergeCell ref="L7:Q8"/>
    <mergeCell ref="M9:N9"/>
    <mergeCell ref="J10:T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abSelected="1" zoomScale="60" zoomScaleNormal="60" workbookViewId="0">
      <selection activeCell="J10" sqref="J10"/>
    </sheetView>
  </sheetViews>
  <sheetFormatPr baseColWidth="10" defaultRowHeight="13"/>
  <cols>
    <col min="1" max="1" width="21.69921875" customWidth="1"/>
    <col min="3" max="3" width="5.3984375" bestFit="1" customWidth="1"/>
    <col min="4" max="4" width="21.296875" customWidth="1"/>
    <col min="6" max="6" width="6" customWidth="1"/>
    <col min="8" max="8" width="10.3984375" customWidth="1"/>
    <col min="9" max="9" width="9.09765625" customWidth="1"/>
    <col min="10" max="10" width="10.3984375" customWidth="1"/>
    <col min="13" max="13" width="9.69921875" customWidth="1"/>
    <col min="14" max="14" width="9.59765625" customWidth="1"/>
    <col min="15" max="15" width="9.69921875" customWidth="1"/>
    <col min="16" max="16" width="9.3984375" customWidth="1"/>
  </cols>
  <sheetData>
    <row r="1" spans="1:19">
      <c r="C1" s="366"/>
      <c r="I1" s="419" t="s">
        <v>183</v>
      </c>
      <c r="J1" s="420"/>
      <c r="K1" s="420"/>
      <c r="L1" s="420"/>
      <c r="M1" s="420"/>
      <c r="N1" s="420"/>
    </row>
    <row r="2" spans="1:19" ht="14">
      <c r="G2" s="285"/>
      <c r="H2" s="285"/>
      <c r="I2" s="420"/>
      <c r="J2" s="420"/>
      <c r="K2" s="420"/>
      <c r="L2" s="420"/>
      <c r="M2" s="420"/>
      <c r="N2" s="420"/>
      <c r="O2" s="285"/>
      <c r="P2" s="285"/>
      <c r="Q2" s="285"/>
      <c r="R2" s="285"/>
      <c r="S2" s="285"/>
    </row>
    <row r="3" spans="1:19" ht="14">
      <c r="G3" s="285"/>
      <c r="H3" s="285"/>
      <c r="O3" s="285"/>
      <c r="P3" s="285"/>
      <c r="Q3" s="285"/>
      <c r="R3" s="285"/>
      <c r="S3" s="285"/>
    </row>
    <row r="4" spans="1:19" ht="19" thickBot="1">
      <c r="A4" s="341" t="s">
        <v>194</v>
      </c>
      <c r="B4" s="341" t="s">
        <v>193</v>
      </c>
      <c r="C4" s="359">
        <v>1</v>
      </c>
      <c r="D4" s="350" t="s">
        <v>220</v>
      </c>
      <c r="E4" s="269" t="s">
        <v>193</v>
      </c>
      <c r="F4" s="359">
        <v>-1</v>
      </c>
      <c r="G4" s="364"/>
      <c r="H4" s="364"/>
      <c r="I4" s="365"/>
      <c r="J4" s="365"/>
      <c r="K4" s="445"/>
      <c r="L4" s="445"/>
      <c r="M4" s="365"/>
      <c r="N4" s="365"/>
      <c r="O4" s="364"/>
      <c r="P4" s="364"/>
      <c r="Q4" s="364"/>
      <c r="R4" s="285"/>
      <c r="S4" s="285"/>
    </row>
    <row r="5" spans="1:19" ht="15" thickTop="1">
      <c r="A5" s="340" t="s">
        <v>195</v>
      </c>
      <c r="B5" s="342">
        <v>1</v>
      </c>
      <c r="D5" s="349" t="s">
        <v>213</v>
      </c>
      <c r="E5" s="342">
        <v>1</v>
      </c>
      <c r="G5" s="436" t="s">
        <v>232</v>
      </c>
      <c r="H5" s="437"/>
      <c r="I5" s="437"/>
      <c r="J5" s="437"/>
      <c r="K5" s="437"/>
      <c r="L5" s="437"/>
      <c r="M5" s="437"/>
      <c r="N5" s="437"/>
      <c r="O5" s="437"/>
      <c r="P5" s="437"/>
      <c r="Q5" s="438"/>
      <c r="R5" s="285"/>
      <c r="S5" s="285"/>
    </row>
    <row r="6" spans="1:19" ht="14.5">
      <c r="A6" s="340" t="s">
        <v>196</v>
      </c>
      <c r="B6" s="342">
        <v>0.5</v>
      </c>
      <c r="D6" s="349" t="s">
        <v>214</v>
      </c>
      <c r="E6" s="342">
        <v>0.5</v>
      </c>
      <c r="G6" s="439"/>
      <c r="H6" s="440"/>
      <c r="I6" s="440"/>
      <c r="J6" s="440"/>
      <c r="K6" s="440"/>
      <c r="L6" s="440"/>
      <c r="M6" s="440"/>
      <c r="N6" s="440"/>
      <c r="O6" s="440"/>
      <c r="P6" s="440"/>
      <c r="Q6" s="441"/>
      <c r="R6" s="285"/>
      <c r="S6" s="285"/>
    </row>
    <row r="7" spans="1:19" ht="36" customHeight="1" thickBot="1">
      <c r="A7" s="344"/>
      <c r="B7" s="345"/>
      <c r="D7" s="349" t="s">
        <v>215</v>
      </c>
      <c r="E7" s="342">
        <v>0</v>
      </c>
      <c r="G7" s="442"/>
      <c r="H7" s="443"/>
      <c r="I7" s="443"/>
      <c r="J7" s="443"/>
      <c r="K7" s="443"/>
      <c r="L7" s="443"/>
      <c r="M7" s="443"/>
      <c r="N7" s="443"/>
      <c r="O7" s="443"/>
      <c r="P7" s="443"/>
      <c r="Q7" s="444"/>
      <c r="R7" s="285"/>
      <c r="S7" s="285"/>
    </row>
    <row r="8" spans="1:19" ht="54" customHeight="1" thickTop="1" thickBot="1">
      <c r="D8" s="349" t="s">
        <v>216</v>
      </c>
      <c r="E8" s="342">
        <v>0.25</v>
      </c>
      <c r="G8" s="362" t="s">
        <v>163</v>
      </c>
      <c r="H8" s="428" t="s">
        <v>160</v>
      </c>
      <c r="I8" s="429"/>
      <c r="J8" s="430"/>
      <c r="K8" s="431" t="s">
        <v>161</v>
      </c>
      <c r="L8" s="432"/>
      <c r="M8" s="433" t="s">
        <v>162</v>
      </c>
      <c r="N8" s="434"/>
      <c r="O8" s="434"/>
      <c r="P8" s="434"/>
      <c r="Q8" s="435"/>
      <c r="R8" s="285"/>
      <c r="S8" s="285"/>
    </row>
    <row r="9" spans="1:19" ht="30.65" customHeight="1" thickTop="1" thickBot="1">
      <c r="A9" s="341" t="s">
        <v>197</v>
      </c>
      <c r="B9" s="341" t="s">
        <v>193</v>
      </c>
      <c r="C9" s="360">
        <v>3.0000000000000001E-3</v>
      </c>
      <c r="D9" s="349" t="s">
        <v>217</v>
      </c>
      <c r="E9" s="342">
        <v>-1</v>
      </c>
      <c r="G9" s="332">
        <v>0</v>
      </c>
      <c r="H9" s="333">
        <v>1</v>
      </c>
      <c r="I9" s="333">
        <v>2</v>
      </c>
      <c r="J9" s="333">
        <v>3</v>
      </c>
      <c r="K9" s="334">
        <v>4</v>
      </c>
      <c r="L9" s="334">
        <v>5</v>
      </c>
      <c r="M9" s="335">
        <v>6</v>
      </c>
      <c r="N9" s="335">
        <v>7</v>
      </c>
      <c r="O9" s="335">
        <v>8</v>
      </c>
      <c r="P9" s="335">
        <v>9</v>
      </c>
      <c r="Q9" s="335">
        <v>10</v>
      </c>
      <c r="R9" s="285"/>
      <c r="S9" s="285"/>
    </row>
    <row r="10" spans="1:19" ht="24" thickTop="1">
      <c r="A10" s="340" t="s">
        <v>198</v>
      </c>
      <c r="B10" s="342">
        <v>1</v>
      </c>
      <c r="D10" s="349" t="s">
        <v>218</v>
      </c>
      <c r="E10" s="342">
        <v>0</v>
      </c>
      <c r="G10" s="358"/>
      <c r="H10" s="358" t="s">
        <v>231</v>
      </c>
      <c r="I10" s="358" t="s">
        <v>231</v>
      </c>
      <c r="J10" s="358" t="s">
        <v>231</v>
      </c>
      <c r="K10" s="358" t="s">
        <v>231</v>
      </c>
      <c r="L10" s="358" t="s">
        <v>231</v>
      </c>
      <c r="M10" s="358" t="s">
        <v>231</v>
      </c>
      <c r="N10" s="358" t="s">
        <v>231</v>
      </c>
      <c r="O10" s="358" t="s">
        <v>231</v>
      </c>
      <c r="P10" s="358" t="s">
        <v>231</v>
      </c>
      <c r="Q10" s="358" t="s">
        <v>231</v>
      </c>
      <c r="R10" s="285"/>
      <c r="S10" s="285"/>
    </row>
    <row r="11" spans="1:19" ht="26.5" thickBot="1">
      <c r="A11" s="343" t="s">
        <v>203</v>
      </c>
      <c r="B11" s="342">
        <v>0.75</v>
      </c>
      <c r="D11" s="349" t="s">
        <v>219</v>
      </c>
      <c r="E11" s="342">
        <v>0</v>
      </c>
      <c r="G11" s="285"/>
      <c r="H11" s="285"/>
      <c r="I11" s="285"/>
      <c r="J11" s="285"/>
      <c r="K11" s="285"/>
      <c r="L11" s="285"/>
      <c r="M11" s="285"/>
      <c r="N11" s="285"/>
      <c r="O11" s="285"/>
      <c r="P11" s="285"/>
      <c r="Q11" s="285"/>
      <c r="R11" s="285"/>
      <c r="S11" s="285"/>
    </row>
    <row r="12" spans="1:19" ht="29.4" customHeight="1" thickTop="1" thickBot="1">
      <c r="A12" s="343" t="s">
        <v>199</v>
      </c>
      <c r="B12" s="342">
        <v>0.05</v>
      </c>
      <c r="G12" s="361" t="s">
        <v>192</v>
      </c>
      <c r="H12" s="337"/>
      <c r="I12" s="352">
        <f>+C4+C9+C18+F4+F13+F19</f>
        <v>0.50299999999999989</v>
      </c>
      <c r="K12" s="339"/>
      <c r="L12" s="339"/>
      <c r="M12" s="339"/>
      <c r="N12" s="339"/>
      <c r="O12" s="339"/>
      <c r="P12" s="339"/>
      <c r="Q12" s="339"/>
      <c r="R12" s="285"/>
      <c r="S12" s="285"/>
    </row>
    <row r="13" spans="1:19" ht="39.5" thickTop="1">
      <c r="A13" s="343" t="s">
        <v>204</v>
      </c>
      <c r="B13" s="342" t="s">
        <v>221</v>
      </c>
      <c r="D13" s="341" t="s">
        <v>222</v>
      </c>
      <c r="E13" s="351" t="s">
        <v>193</v>
      </c>
      <c r="F13" s="359">
        <v>0</v>
      </c>
      <c r="G13" s="285"/>
      <c r="H13" s="426" t="s">
        <v>235</v>
      </c>
      <c r="I13" s="427"/>
      <c r="J13" s="427"/>
      <c r="K13" s="427"/>
      <c r="L13" s="427"/>
      <c r="M13" s="427"/>
      <c r="N13" s="427"/>
      <c r="O13" s="427"/>
      <c r="P13" s="427"/>
      <c r="Q13" s="427"/>
      <c r="R13" s="427"/>
      <c r="S13" s="285"/>
    </row>
    <row r="14" spans="1:19" ht="14.5">
      <c r="A14" s="340" t="s">
        <v>200</v>
      </c>
      <c r="B14" s="342">
        <v>5.0000000000000001E-3</v>
      </c>
      <c r="D14" s="349" t="s">
        <v>223</v>
      </c>
      <c r="E14" s="342">
        <v>0</v>
      </c>
      <c r="H14" s="427"/>
      <c r="I14" s="427"/>
      <c r="J14" s="427"/>
      <c r="K14" s="427"/>
      <c r="L14" s="427"/>
      <c r="M14" s="427"/>
      <c r="N14" s="427"/>
      <c r="O14" s="427"/>
      <c r="P14" s="427"/>
      <c r="Q14" s="427"/>
      <c r="R14" s="427"/>
    </row>
    <row r="15" spans="1:19" ht="14.5">
      <c r="A15" s="340" t="s">
        <v>201</v>
      </c>
      <c r="B15" s="342">
        <v>5.0000000000000001E-3</v>
      </c>
      <c r="D15" s="349" t="s">
        <v>224</v>
      </c>
      <c r="E15" s="342">
        <v>0.25</v>
      </c>
      <c r="H15" s="427"/>
      <c r="I15" s="427"/>
      <c r="J15" s="427"/>
      <c r="K15" s="427"/>
      <c r="L15" s="427"/>
      <c r="M15" s="427"/>
      <c r="N15" s="427"/>
      <c r="O15" s="427"/>
      <c r="P15" s="427"/>
      <c r="Q15" s="427"/>
      <c r="R15" s="427"/>
    </row>
    <row r="16" spans="1:19" ht="14.5">
      <c r="A16" s="340" t="s">
        <v>202</v>
      </c>
      <c r="B16" s="342">
        <v>3.0000000000000001E-3</v>
      </c>
      <c r="D16" s="349" t="s">
        <v>225</v>
      </c>
      <c r="E16" s="342">
        <v>0.5</v>
      </c>
      <c r="H16" s="427"/>
      <c r="I16" s="427"/>
      <c r="J16" s="427"/>
      <c r="K16" s="427"/>
      <c r="L16" s="427"/>
      <c r="M16" s="427"/>
      <c r="N16" s="427"/>
      <c r="O16" s="427"/>
      <c r="P16" s="427"/>
      <c r="Q16" s="427"/>
      <c r="R16" s="427"/>
    </row>
    <row r="17" spans="1:18" ht="14.5">
      <c r="D17" s="349" t="s">
        <v>226</v>
      </c>
      <c r="E17" s="342">
        <v>0.75</v>
      </c>
      <c r="H17" s="427"/>
      <c r="I17" s="427"/>
      <c r="J17" s="427"/>
      <c r="K17" s="427"/>
      <c r="L17" s="427"/>
      <c r="M17" s="427"/>
      <c r="N17" s="427"/>
      <c r="O17" s="427"/>
      <c r="P17" s="427"/>
      <c r="Q17" s="427"/>
      <c r="R17" s="427"/>
    </row>
    <row r="18" spans="1:18" ht="14.5">
      <c r="A18" s="341" t="s">
        <v>205</v>
      </c>
      <c r="B18" s="341" t="s">
        <v>193</v>
      </c>
      <c r="C18" s="359">
        <v>0</v>
      </c>
    </row>
    <row r="19" spans="1:18" ht="14.5">
      <c r="A19" s="346" t="s">
        <v>206</v>
      </c>
      <c r="B19" s="342">
        <v>0</v>
      </c>
      <c r="D19" s="350" t="s">
        <v>227</v>
      </c>
      <c r="E19" s="269" t="s">
        <v>193</v>
      </c>
      <c r="F19" s="359">
        <v>0.5</v>
      </c>
    </row>
    <row r="20" spans="1:18" ht="14.5">
      <c r="A20" s="347" t="s">
        <v>207</v>
      </c>
      <c r="B20" s="342">
        <v>0.1</v>
      </c>
      <c r="D20" s="349" t="s">
        <v>228</v>
      </c>
      <c r="E20" s="342">
        <v>0.75</v>
      </c>
      <c r="L20" s="363"/>
    </row>
    <row r="21" spans="1:18" ht="14.5">
      <c r="A21" s="347" t="s">
        <v>208</v>
      </c>
      <c r="B21" s="342">
        <v>0.2</v>
      </c>
      <c r="D21" s="349" t="s">
        <v>229</v>
      </c>
      <c r="E21" s="342">
        <v>0.5</v>
      </c>
    </row>
    <row r="22" spans="1:18" ht="14.5">
      <c r="A22" s="347" t="s">
        <v>209</v>
      </c>
      <c r="B22" s="342">
        <v>0.4</v>
      </c>
      <c r="D22" s="349" t="s">
        <v>230</v>
      </c>
      <c r="E22" s="342">
        <v>0.5</v>
      </c>
    </row>
    <row r="23" spans="1:18" ht="14.5">
      <c r="A23" s="347" t="s">
        <v>210</v>
      </c>
      <c r="B23" s="342">
        <v>0.6</v>
      </c>
    </row>
    <row r="24" spans="1:18" ht="14.5">
      <c r="A24" s="347" t="s">
        <v>211</v>
      </c>
      <c r="B24" s="342">
        <v>0.8</v>
      </c>
    </row>
    <row r="25" spans="1:18" ht="14.5">
      <c r="A25" s="348" t="s">
        <v>212</v>
      </c>
      <c r="B25" s="342">
        <v>1</v>
      </c>
    </row>
    <row r="26" spans="1:18">
      <c r="B26" s="284"/>
    </row>
    <row r="27" spans="1:18">
      <c r="B27" s="284"/>
    </row>
  </sheetData>
  <mergeCells count="7">
    <mergeCell ref="H13:R17"/>
    <mergeCell ref="I1:N2"/>
    <mergeCell ref="H8:J8"/>
    <mergeCell ref="K8:L8"/>
    <mergeCell ref="M8:Q8"/>
    <mergeCell ref="G5:Q7"/>
    <mergeCell ref="K4:L4"/>
  </mergeCells>
  <conditionalFormatting sqref="G10">
    <cfRule type="expression" dxfId="6" priority="15">
      <formula>H13&lt;=0</formula>
    </cfRule>
  </conditionalFormatting>
  <conditionalFormatting sqref="H10">
    <cfRule type="expression" dxfId="5" priority="11">
      <formula>H13=1</formula>
    </cfRule>
  </conditionalFormatting>
  <conditionalFormatting sqref="I10">
    <cfRule type="expression" dxfId="4" priority="16">
      <formula>H13=2</formula>
    </cfRule>
    <cfRule type="expression" dxfId="3" priority="17">
      <formula>IF(I12&gt;1,IF(I12&lt;3,,),)</formula>
    </cfRule>
  </conditionalFormatting>
  <conditionalFormatting sqref="J10">
    <cfRule type="expression" dxfId="2" priority="13">
      <formula>H13=3</formula>
    </cfRule>
  </conditionalFormatting>
  <conditionalFormatting sqref="K10">
    <cfRule type="expression" dxfId="1" priority="14">
      <formula>H13=4</formula>
    </cfRule>
  </conditionalFormatting>
  <conditionalFormatting sqref="L10">
    <cfRule type="expression" dxfId="0" priority="12">
      <formula>H13=5</formula>
    </cfRule>
  </conditionalFormatting>
  <dataValidations count="6">
    <dataValidation type="list" allowBlank="1" showInputMessage="1" showErrorMessage="1" sqref="C4">
      <formula1>$B$5:$B$6</formula1>
    </dataValidation>
    <dataValidation type="list" allowBlank="1" showInputMessage="1" showErrorMessage="1" sqref="F4">
      <formula1>$E$5:$E$11</formula1>
    </dataValidation>
    <dataValidation type="list" allowBlank="1" showInputMessage="1" showErrorMessage="1" sqref="C9">
      <formula1>$B$10:$B$16</formula1>
    </dataValidation>
    <dataValidation type="list" allowBlank="1" showInputMessage="1" showErrorMessage="1" sqref="C18">
      <formula1>$B$19:$B$25</formula1>
    </dataValidation>
    <dataValidation type="list" allowBlank="1" showInputMessage="1" showErrorMessage="1" sqref="F19">
      <formula1>$E$20:$E$22</formula1>
    </dataValidation>
    <dataValidation type="list" allowBlank="1" showInputMessage="1" showErrorMessage="1" sqref="F13">
      <formula1>$E$14:$E$17</formula1>
    </dataValidation>
  </dataValidation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ACTIF</vt:lpstr>
      <vt:lpstr>PASSIF</vt:lpstr>
      <vt:lpstr>COMPTE DE RESULTAT</vt:lpstr>
      <vt:lpstr>Ratios</vt:lpstr>
      <vt:lpstr>SCORING avec bilan saisi</vt:lpstr>
      <vt:lpstr>SCORING sans bilan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Issa PEROU</dc:creator>
  <cp:lastModifiedBy>24174835631</cp:lastModifiedBy>
  <dcterms:created xsi:type="dcterms:W3CDTF">2020-11-24T16:19:39Z</dcterms:created>
  <dcterms:modified xsi:type="dcterms:W3CDTF">2025-11-20T07:44:58Z</dcterms:modified>
</cp:coreProperties>
</file>