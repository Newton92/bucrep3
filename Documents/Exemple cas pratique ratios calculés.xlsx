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sa PEROU\Documents\Documents\Bilans Divers\"/>
    </mc:Choice>
  </mc:AlternateContent>
  <xr:revisionPtr revIDLastSave="0" documentId="13_ncr:1_{C454F63B-9203-41DD-8902-C99AABDB7B66}" xr6:coauthVersionLast="47" xr6:coauthVersionMax="47" xr10:uidLastSave="{00000000-0000-0000-0000-000000000000}"/>
  <bookViews>
    <workbookView xWindow="-108" yWindow="-108" windowWidth="23256" windowHeight="13896" tabRatio="923" activeTab="4" xr2:uid="{00000000-000D-0000-FFFF-FFFF00000000}"/>
  </bookViews>
  <sheets>
    <sheet name="Fiche identité société" sheetId="47" r:id="rId1"/>
    <sheet name="ACTIF" sheetId="3" r:id="rId2"/>
    <sheet name="Feuil2" sheetId="48" state="hidden" r:id="rId3"/>
    <sheet name="PASSIF" sheetId="4" r:id="rId4"/>
    <sheet name="Compte de résultat " sheetId="5" r:id="rId5"/>
    <sheet name="RES04" sheetId="44" state="hidden" r:id="rId6"/>
    <sheet name="Calcul ratio" sheetId="46" r:id="rId7"/>
    <sheet name="Soldes Interm.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46" l="1"/>
  <c r="K55" i="46"/>
  <c r="C73" i="46"/>
  <c r="D31" i="46" l="1"/>
  <c r="C31" i="46"/>
  <c r="C61" i="46" l="1"/>
  <c r="C45" i="46" l="1"/>
  <c r="D34" i="46" l="1"/>
  <c r="C34" i="46"/>
  <c r="C29" i="46" l="1"/>
  <c r="D33" i="46"/>
  <c r="C33" i="46"/>
  <c r="D29" i="46"/>
  <c r="I114" i="46"/>
  <c r="C115" i="46" s="1"/>
  <c r="J112" i="46"/>
  <c r="J114" i="46" s="1"/>
  <c r="D115" i="46" s="1"/>
  <c r="I112" i="46"/>
  <c r="D106" i="46"/>
  <c r="C106" i="46"/>
  <c r="D105" i="46"/>
  <c r="C105" i="46"/>
  <c r="D99" i="46"/>
  <c r="C99" i="46"/>
  <c r="D98" i="46"/>
  <c r="D101" i="46" s="1"/>
  <c r="C98" i="46"/>
  <c r="C101" i="46" s="1"/>
  <c r="D88" i="46"/>
  <c r="C88" i="46"/>
  <c r="D84" i="46"/>
  <c r="C84" i="46"/>
  <c r="D73" i="46"/>
  <c r="D62" i="46"/>
  <c r="C62" i="46"/>
  <c r="C67" i="46"/>
  <c r="D61" i="46"/>
  <c r="K74" i="46"/>
  <c r="K68" i="46"/>
  <c r="K62" i="46"/>
  <c r="K43" i="3"/>
  <c r="K37" i="3"/>
  <c r="D47" i="46"/>
  <c r="C47" i="46"/>
  <c r="D46" i="46"/>
  <c r="C46" i="46"/>
  <c r="D44" i="46"/>
  <c r="C44" i="46"/>
  <c r="C50" i="46" s="1"/>
  <c r="D45" i="46"/>
  <c r="D48" i="46" s="1"/>
  <c r="D35" i="46"/>
  <c r="C35" i="46"/>
  <c r="D32" i="46"/>
  <c r="D30" i="46" s="1"/>
  <c r="C32" i="46"/>
  <c r="C30" i="46" s="1"/>
  <c r="D28" i="46"/>
  <c r="C28" i="46"/>
  <c r="C27" i="46"/>
  <c r="D25" i="46"/>
  <c r="C25" i="46"/>
  <c r="D10" i="46"/>
  <c r="D11" i="46"/>
  <c r="C11" i="46"/>
  <c r="C10" i="46"/>
  <c r="D4" i="46"/>
  <c r="C4" i="46"/>
  <c r="D3" i="46"/>
  <c r="C3" i="46"/>
  <c r="D17" i="46"/>
  <c r="C17" i="46"/>
  <c r="E6" i="44"/>
  <c r="D6" i="44"/>
  <c r="C6" i="44"/>
  <c r="D53" i="10"/>
  <c r="B53" i="10"/>
  <c r="D52" i="10"/>
  <c r="B52" i="10"/>
  <c r="D51" i="10"/>
  <c r="B51" i="10"/>
  <c r="D46" i="10"/>
  <c r="B46" i="10"/>
  <c r="D25" i="10"/>
  <c r="D37" i="10"/>
  <c r="B37" i="10"/>
  <c r="B25" i="10"/>
  <c r="A6" i="44"/>
  <c r="A1" i="44"/>
  <c r="D8" i="10"/>
  <c r="D12" i="10" s="1"/>
  <c r="D13" i="10"/>
  <c r="D14" i="10"/>
  <c r="D7" i="10"/>
  <c r="D19" i="10"/>
  <c r="D30" i="10"/>
  <c r="D31" i="10"/>
  <c r="D32" i="10"/>
  <c r="B8" i="10"/>
  <c r="B12" i="10" s="1"/>
  <c r="B13" i="10"/>
  <c r="B14" i="10"/>
  <c r="B7" i="10"/>
  <c r="B18" i="10" s="1"/>
  <c r="B19" i="10"/>
  <c r="B30" i="10"/>
  <c r="B31" i="10"/>
  <c r="B32" i="10"/>
  <c r="B38" i="10"/>
  <c r="B39" i="10"/>
  <c r="B45" i="10"/>
  <c r="B44" i="10"/>
  <c r="D39" i="10"/>
  <c r="D38" i="10"/>
  <c r="D45" i="10"/>
  <c r="D44" i="10"/>
  <c r="C38" i="46" l="1"/>
  <c r="D26" i="46"/>
  <c r="D67" i="46"/>
  <c r="C63" i="46"/>
  <c r="D6" i="46"/>
  <c r="D7" i="46" s="1"/>
  <c r="D50" i="46"/>
  <c r="C48" i="46"/>
  <c r="C49" i="46"/>
  <c r="D63" i="46"/>
  <c r="D49" i="46"/>
  <c r="C107" i="46"/>
  <c r="C109" i="46" s="1"/>
  <c r="D107" i="46"/>
  <c r="D109" i="46" s="1"/>
  <c r="B21" i="10"/>
  <c r="B24" i="10" s="1"/>
  <c r="C12" i="46"/>
  <c r="D37" i="46"/>
  <c r="D114" i="46" s="1"/>
  <c r="D117" i="46" s="1"/>
  <c r="C26" i="46"/>
  <c r="D12" i="46"/>
  <c r="D13" i="46" s="1"/>
  <c r="C13" i="46"/>
  <c r="C6" i="46"/>
  <c r="B16" i="10"/>
  <c r="B23" i="10" s="1"/>
  <c r="B10" i="10"/>
  <c r="F10" i="10" s="1"/>
  <c r="D16" i="10"/>
  <c r="D18" i="10"/>
  <c r="D21" i="10" s="1"/>
  <c r="D10" i="10"/>
  <c r="D38" i="46" l="1"/>
  <c r="C16" i="10"/>
  <c r="F21" i="10"/>
  <c r="C21" i="10"/>
  <c r="C37" i="46"/>
  <c r="C114" i="46" s="1"/>
  <c r="C117" i="46" s="1"/>
  <c r="C7" i="46"/>
  <c r="C16" i="46"/>
  <c r="C18" i="46" s="1"/>
  <c r="D16" i="46"/>
  <c r="D18" i="46" s="1"/>
  <c r="B27" i="10"/>
  <c r="B29" i="10" s="1"/>
  <c r="B34" i="10" s="1"/>
  <c r="F16" i="10"/>
  <c r="D23" i="10"/>
  <c r="E16" i="10"/>
  <c r="D24" i="10"/>
  <c r="E21" i="10"/>
  <c r="D27" i="10" l="1"/>
  <c r="F27" i="10" s="1"/>
  <c r="C27" i="10"/>
  <c r="B36" i="10"/>
  <c r="B41" i="10" s="1"/>
  <c r="C34" i="10"/>
  <c r="E27" i="10" l="1"/>
  <c r="D29" i="10"/>
  <c r="D34" i="10" s="1"/>
  <c r="F34" i="10" s="1"/>
  <c r="C41" i="10"/>
  <c r="B43" i="10"/>
  <c r="B48" i="10" s="1"/>
  <c r="E34" i="10" l="1"/>
  <c r="D36" i="10"/>
  <c r="D41" i="10" s="1"/>
  <c r="F41" i="10" s="1"/>
  <c r="B50" i="10"/>
  <c r="B55" i="10" s="1"/>
  <c r="C55" i="10" s="1"/>
  <c r="C48" i="10"/>
  <c r="D43" i="10" l="1"/>
  <c r="D48" i="10" s="1"/>
  <c r="F48" i="10" s="1"/>
  <c r="E41" i="10"/>
  <c r="D50" i="10"/>
  <c r="D55" i="10" s="1"/>
  <c r="E55" i="10" s="1"/>
  <c r="E48" i="10" l="1"/>
  <c r="F5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Ba, Seydina</author>
  </authors>
  <commentList>
    <comment ref="B3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attetion aux transerts de charges</t>
        </r>
      </text>
    </comment>
    <comment ref="B3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Hypothése ==&gt; except font parties de l'activité courante (exemple pour les loueurs)</t>
        </r>
      </text>
    </comment>
    <comment ref="B6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La rotation des stocks détermine le nombre de fois ou le stock est complètement renouvelé pour réaliser un chiffre d’affaires durant une période donnée (année ou mois)</t>
        </r>
      </text>
    </comment>
    <comment ref="B6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Le temps d'écoulement des stocks est une variable assez proche du ratio de rotation des stocks. Il consiste à calculer combien de temps, en moyenne, un produit restera en stock avant d'être écoulé, Dans tous les cas, cette variable doit être réduite au maximum pour parvenir à une gestion des stocks optimale. Mais cette variable est également à surveiller de très près dans le cas de produits périssables
</t>
        </r>
      </text>
    </comment>
    <comment ref="B7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Ces ratios expriment le nombre de jours de stockage des matières premières, marchandises et produits finis</t>
        </r>
      </text>
    </comment>
    <comment ref="B10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Ba, Seydina:</t>
        </r>
        <r>
          <rPr>
            <sz val="9"/>
            <color indexed="81"/>
            <rFont val="Tahoma"/>
            <family val="2"/>
          </rPr>
          <t xml:space="preserve">
VMP valeur mobilére de placement</t>
        </r>
      </text>
    </comment>
  </commentList>
</comments>
</file>

<file path=xl/sharedStrings.xml><?xml version="1.0" encoding="utf-8"?>
<sst xmlns="http://schemas.openxmlformats.org/spreadsheetml/2006/main" count="482" uniqueCount="403">
  <si>
    <t>A1</t>
  </si>
  <si>
    <t>Transfert de charges</t>
  </si>
  <si>
    <t>CA</t>
  </si>
  <si>
    <t>ACTIF   (Fiche 1)</t>
  </si>
  <si>
    <t>Capital souscrit non appele</t>
  </si>
  <si>
    <t>ACTIF IMMOBILISE</t>
  </si>
  <si>
    <t>Frais d'etablissement</t>
  </si>
  <si>
    <t>Frais de R et D</t>
  </si>
  <si>
    <t>Concessions, brevets</t>
  </si>
  <si>
    <t>Fonds commercial</t>
  </si>
  <si>
    <t>Autres immos incorporelles</t>
  </si>
  <si>
    <t>Avances et acptes / imm. inc.</t>
  </si>
  <si>
    <t>Terrains</t>
  </si>
  <si>
    <t>Constructions</t>
  </si>
  <si>
    <t>Instal. techn., mat. et out.</t>
  </si>
  <si>
    <t>Autres immos corporelles</t>
  </si>
  <si>
    <t>Immobilisations en cours</t>
  </si>
  <si>
    <t>Avances et acptes / imm. corp.</t>
  </si>
  <si>
    <t>Participations</t>
  </si>
  <si>
    <t>Creances rattachees particip.</t>
  </si>
  <si>
    <t>Autres titres immobilises</t>
  </si>
  <si>
    <t>Prets</t>
  </si>
  <si>
    <t>Autres immos financieres</t>
  </si>
  <si>
    <t xml:space="preserve">             TOTAL (I)</t>
  </si>
  <si>
    <t>STOCKS :</t>
  </si>
  <si>
    <t xml:space="preserve">   Matieres premieres, approv.</t>
  </si>
  <si>
    <t xml:space="preserve">   En cours prod. biens</t>
  </si>
  <si>
    <t xml:space="preserve">   En cours prod. services</t>
  </si>
  <si>
    <t xml:space="preserve">   Produits intermediaires</t>
  </si>
  <si>
    <t xml:space="preserve">   Marchandises</t>
  </si>
  <si>
    <t xml:space="preserve"> </t>
  </si>
  <si>
    <t>Avances et acptes sur cmdes</t>
  </si>
  <si>
    <t>Clients et cptes rattaches</t>
  </si>
  <si>
    <t>Autres creances</t>
  </si>
  <si>
    <t>Capital sousc. appele non verse</t>
  </si>
  <si>
    <t>Valeurs mobilieres de placement</t>
  </si>
  <si>
    <t>Disponibilites</t>
  </si>
  <si>
    <t>Charges constatees d'avance</t>
  </si>
  <si>
    <t xml:space="preserve">             TOTAL (II)</t>
  </si>
  <si>
    <t>Charges a repartir</t>
  </si>
  <si>
    <t>Primes de remboursement oblig.</t>
  </si>
  <si>
    <t>Ecarts conversion actif</t>
  </si>
  <si>
    <t xml:space="preserve">          TOTAL GENERAL</t>
  </si>
  <si>
    <t xml:space="preserve"> (2)  Part moins d'un an immo Fin</t>
  </si>
  <si>
    <t xml:space="preserve">  PASSIF   (Fiche 2)</t>
  </si>
  <si>
    <t>Capital social ou individuel</t>
  </si>
  <si>
    <t>DA</t>
  </si>
  <si>
    <t>Primes emission, fusion, apport</t>
  </si>
  <si>
    <t>DB</t>
  </si>
  <si>
    <t>Ecart de reevaluation</t>
  </si>
  <si>
    <t>DC</t>
  </si>
  <si>
    <t>Reserve legale</t>
  </si>
  <si>
    <t>DD</t>
  </si>
  <si>
    <t>Reserves statut. ou contract.</t>
  </si>
  <si>
    <t>DE</t>
  </si>
  <si>
    <t>Reserves reglementees</t>
  </si>
  <si>
    <t>DF</t>
  </si>
  <si>
    <t>Autres reserves</t>
  </si>
  <si>
    <t>DG</t>
  </si>
  <si>
    <t>Report a nouveau</t>
  </si>
  <si>
    <t>DH</t>
  </si>
  <si>
    <t>RESULTAT DE L'EXERCICE</t>
  </si>
  <si>
    <t>DI</t>
  </si>
  <si>
    <t>Subventions d'investissement</t>
  </si>
  <si>
    <t>DJ</t>
  </si>
  <si>
    <t>Provisions reglementees</t>
  </si>
  <si>
    <t>DK</t>
  </si>
  <si>
    <t>DL</t>
  </si>
  <si>
    <t>Produit emissions titres part.</t>
  </si>
  <si>
    <t>DM</t>
  </si>
  <si>
    <t>Avances conditionnes</t>
  </si>
  <si>
    <t>DN</t>
  </si>
  <si>
    <t xml:space="preserve">          TOTAL (II)</t>
  </si>
  <si>
    <t>DO</t>
  </si>
  <si>
    <t>Provisions pour risques</t>
  </si>
  <si>
    <t>DP</t>
  </si>
  <si>
    <t>Provisions pour charges</t>
  </si>
  <si>
    <t>DQ</t>
  </si>
  <si>
    <t xml:space="preserve">          TOTAL (III)</t>
  </si>
  <si>
    <t>DR</t>
  </si>
  <si>
    <t>Emprunts obligataires convert.</t>
  </si>
  <si>
    <t>DS</t>
  </si>
  <si>
    <t>Autres emprunts obligataires</t>
  </si>
  <si>
    <t>DT</t>
  </si>
  <si>
    <t>DU</t>
  </si>
  <si>
    <t>DV</t>
  </si>
  <si>
    <t>Avances et acomptes / cmdes</t>
  </si>
  <si>
    <t>DW</t>
  </si>
  <si>
    <t xml:space="preserve">Dettes fournisseurs </t>
  </si>
  <si>
    <t>DX</t>
  </si>
  <si>
    <t>Dettes fiscales et sociales</t>
  </si>
  <si>
    <t>DY</t>
  </si>
  <si>
    <t>Dettes sur immobilisations</t>
  </si>
  <si>
    <t>DZ</t>
  </si>
  <si>
    <t>Autres dettes</t>
  </si>
  <si>
    <t>EA</t>
  </si>
  <si>
    <t>Produits constates d'avance</t>
  </si>
  <si>
    <t>EB</t>
  </si>
  <si>
    <t xml:space="preserve">          TOTAL (IV)    </t>
  </si>
  <si>
    <t>EC</t>
  </si>
  <si>
    <t>Ecart conv. passif (V)</t>
  </si>
  <si>
    <t>ED</t>
  </si>
  <si>
    <t xml:space="preserve">   TOTAL GENERAL   ( I a V )</t>
  </si>
  <si>
    <t>EE</t>
  </si>
  <si>
    <t>Renvois</t>
  </si>
  <si>
    <t>(6) Dont concours bancaires</t>
  </si>
  <si>
    <t>EH</t>
  </si>
  <si>
    <t>EI</t>
  </si>
  <si>
    <t>COMPTE DE RESULTAT   (Fiche 3)</t>
  </si>
  <si>
    <t xml:space="preserve">  Ventes de marchandises</t>
  </si>
  <si>
    <t>FC</t>
  </si>
  <si>
    <t xml:space="preserve">  Production vendue,  biens</t>
  </si>
  <si>
    <t>FF</t>
  </si>
  <si>
    <t xml:space="preserve">  Production vendue,  services</t>
  </si>
  <si>
    <t>FI</t>
  </si>
  <si>
    <t>Chiffres d'affaires net</t>
  </si>
  <si>
    <t>FL</t>
  </si>
  <si>
    <t>Production stockee</t>
  </si>
  <si>
    <t>FM</t>
  </si>
  <si>
    <t>Production immobilisee</t>
  </si>
  <si>
    <t>FN</t>
  </si>
  <si>
    <t>Subvention d'exploitation</t>
  </si>
  <si>
    <t>FO</t>
  </si>
  <si>
    <t>Reprises amortiss. + provisions</t>
  </si>
  <si>
    <t>FP</t>
  </si>
  <si>
    <t>Autres produits</t>
  </si>
  <si>
    <t>FQ</t>
  </si>
  <si>
    <t xml:space="preserve">   TOTAL pdts d'expl.      (I)</t>
  </si>
  <si>
    <t>FR</t>
  </si>
  <si>
    <t>Achats de marchandises</t>
  </si>
  <si>
    <t>FS</t>
  </si>
  <si>
    <t>Variation de stock march.</t>
  </si>
  <si>
    <t>FT</t>
  </si>
  <si>
    <t>Achats de matiere premiere</t>
  </si>
  <si>
    <t>FU</t>
  </si>
  <si>
    <t>Variation de stock mat. prem.</t>
  </si>
  <si>
    <t>FV</t>
  </si>
  <si>
    <t>Autres achats, charges externes</t>
  </si>
  <si>
    <t>FW</t>
  </si>
  <si>
    <t>Impots et taxes</t>
  </si>
  <si>
    <t>FX</t>
  </si>
  <si>
    <t>Salaires et traitements</t>
  </si>
  <si>
    <t>FY</t>
  </si>
  <si>
    <t>Charges sociales</t>
  </si>
  <si>
    <t>FZ</t>
  </si>
  <si>
    <t>Immos : Dot. aux amortissements</t>
  </si>
  <si>
    <t>GA</t>
  </si>
  <si>
    <t>Immos : Dot. aux provisions</t>
  </si>
  <si>
    <t>GB</t>
  </si>
  <si>
    <t>Actif circ. : Dot. provisions</t>
  </si>
  <si>
    <t>GC</t>
  </si>
  <si>
    <t>Risques : Dot. provisions</t>
  </si>
  <si>
    <t>GD</t>
  </si>
  <si>
    <t>Autres charges</t>
  </si>
  <si>
    <t>GE</t>
  </si>
  <si>
    <t xml:space="preserve">   TOTAL charges d'expl.   (II)</t>
  </si>
  <si>
    <t>GF</t>
  </si>
  <si>
    <t xml:space="preserve"> RESULTAT D'EXPLOITATION</t>
  </si>
  <si>
    <t>GG</t>
  </si>
  <si>
    <t>Benef attr. ou perte tr.  (III)</t>
  </si>
  <si>
    <t>GH</t>
  </si>
  <si>
    <t>Perte supp. ou benef tr.  (IV)</t>
  </si>
  <si>
    <t>GI</t>
  </si>
  <si>
    <t>Produits financiers de part.</t>
  </si>
  <si>
    <t>GJ</t>
  </si>
  <si>
    <t>Prod. autres valeurs mobil.</t>
  </si>
  <si>
    <t>GK</t>
  </si>
  <si>
    <t>Autres interets et prod. ass.</t>
  </si>
  <si>
    <t>GL</t>
  </si>
  <si>
    <t>Reprises sur provisions</t>
  </si>
  <si>
    <t>GM</t>
  </si>
  <si>
    <t>Differences pos. de change</t>
  </si>
  <si>
    <t>GN</t>
  </si>
  <si>
    <t>Produits nets / cessions v.m.p.</t>
  </si>
  <si>
    <t>GO</t>
  </si>
  <si>
    <t xml:space="preserve">     TOTAL Produits fin.  (V)</t>
  </si>
  <si>
    <t>GP</t>
  </si>
  <si>
    <t xml:space="preserve">Dotations financieres </t>
  </si>
  <si>
    <t>GQ</t>
  </si>
  <si>
    <t>Interets &amp; charges assimiles</t>
  </si>
  <si>
    <t>GR</t>
  </si>
  <si>
    <t>Difference negative de change</t>
  </si>
  <si>
    <t>GS</t>
  </si>
  <si>
    <t>Charges nettes / cessions v.m.p.</t>
  </si>
  <si>
    <t>GT</t>
  </si>
  <si>
    <t xml:space="preserve">     TOTAL Charges fin.   (VI)</t>
  </si>
  <si>
    <t>GU</t>
  </si>
  <si>
    <t>RESULTAT FINANCIER    (V - VI)</t>
  </si>
  <si>
    <t>GV</t>
  </si>
  <si>
    <t>RESULTAT COURANT AVANT IMPOT</t>
  </si>
  <si>
    <t>GW</t>
  </si>
  <si>
    <t>COMPTE DE RESULTAT   (Fiche 4)</t>
  </si>
  <si>
    <t>Produits except.: ope. gestion</t>
  </si>
  <si>
    <t>HA</t>
  </si>
  <si>
    <t>Produits except.: ope. capital</t>
  </si>
  <si>
    <t>HB</t>
  </si>
  <si>
    <t>HC</t>
  </si>
  <si>
    <t xml:space="preserve">   Total produits except. (VII)</t>
  </si>
  <si>
    <t>HD</t>
  </si>
  <si>
    <t>Charges except.: ope. gestion</t>
  </si>
  <si>
    <t>HE</t>
  </si>
  <si>
    <t>Charges except.: ope. capital</t>
  </si>
  <si>
    <t>HF</t>
  </si>
  <si>
    <t>Dotations exceptionnelles</t>
  </si>
  <si>
    <t>HG</t>
  </si>
  <si>
    <t xml:space="preserve">   Total charges  except. (VIII)</t>
  </si>
  <si>
    <t>HH</t>
  </si>
  <si>
    <t>RESULTAT EXCEPTIONNEL</t>
  </si>
  <si>
    <t>HI</t>
  </si>
  <si>
    <t>Participation des salaries (IX)</t>
  </si>
  <si>
    <t>HJ</t>
  </si>
  <si>
    <t>Impot sur les benefices    (X)</t>
  </si>
  <si>
    <t>HK</t>
  </si>
  <si>
    <t xml:space="preserve">    TOTAL PRODUITS (I+III+V+VII)</t>
  </si>
  <si>
    <t>HL</t>
  </si>
  <si>
    <t>TOT.CHARGES (II+IV+VI+VIII+IX+X)</t>
  </si>
  <si>
    <t>HM</t>
  </si>
  <si>
    <t xml:space="preserve">BENEFICE OU PERTE </t>
  </si>
  <si>
    <t>HN</t>
  </si>
  <si>
    <t>(3)Dont -Credit bail mobilier</t>
  </si>
  <si>
    <t>HP</t>
  </si>
  <si>
    <t xml:space="preserve">        -Credit bail immobilier</t>
  </si>
  <si>
    <t>HQ</t>
  </si>
  <si>
    <t>%</t>
  </si>
  <si>
    <t>SOLDES INTERMEDIAIRES DE GESTION</t>
  </si>
  <si>
    <t xml:space="preserve">    Ventes de march.</t>
  </si>
  <si>
    <t xml:space="preserve">    Production vendue</t>
  </si>
  <si>
    <t xml:space="preserve"> 1. Chiffre d'Affaires</t>
  </si>
  <si>
    <t xml:space="preserve">    Production stockee</t>
  </si>
  <si>
    <t xml:space="preserve">    Production immo.</t>
  </si>
  <si>
    <t xml:space="preserve"> 2. Prod. de l'exercice</t>
  </si>
  <si>
    <t xml:space="preserve">  - Ct ach. march. vend.</t>
  </si>
  <si>
    <t xml:space="preserve"> 3. Marge commerciale</t>
  </si>
  <si>
    <t xml:space="preserve">    Prod. de l'exercice</t>
  </si>
  <si>
    <t xml:space="preserve">    Marge commerciale</t>
  </si>
  <si>
    <t xml:space="preserve">  - Conso. des Tiers</t>
  </si>
  <si>
    <t xml:space="preserve"> 4. Valeur Ajoutee</t>
  </si>
  <si>
    <t xml:space="preserve">    Valeur ajoutee</t>
  </si>
  <si>
    <t xml:space="preserve">    Subvention d'expl.</t>
  </si>
  <si>
    <t xml:space="preserve">  - Impots et taxes</t>
  </si>
  <si>
    <t xml:space="preserve">  - Charges de person.</t>
  </si>
  <si>
    <t xml:space="preserve"> 5. Excedent Brut d'Expl.</t>
  </si>
  <si>
    <t xml:space="preserve">   EBE</t>
  </si>
  <si>
    <t xml:space="preserve">  - Dot. amt. prv. exp.</t>
  </si>
  <si>
    <t xml:space="preserve">    Rep/amt. + transf.</t>
  </si>
  <si>
    <t xml:space="preserve"> +/-Aut. pdt. ch. gest.</t>
  </si>
  <si>
    <t xml:space="preserve"> 6. Resultat d'expl.</t>
  </si>
  <si>
    <t xml:space="preserve">    Resultat d'expl.</t>
  </si>
  <si>
    <t xml:space="preserve"> +/-Qu.pt/op. en commun</t>
  </si>
  <si>
    <t xml:space="preserve"> +/-Pdt. et ch. fin.</t>
  </si>
  <si>
    <t xml:space="preserve">  - Loyers credit bail</t>
  </si>
  <si>
    <t xml:space="preserve"> 7. Resultat courant</t>
  </si>
  <si>
    <t xml:space="preserve">    Resultat courant</t>
  </si>
  <si>
    <t xml:space="preserve"> +/-Resultat except.</t>
  </si>
  <si>
    <t xml:space="preserve">  - Part. des salaries</t>
  </si>
  <si>
    <t xml:space="preserve">  - IS</t>
  </si>
  <si>
    <t xml:space="preserve"> 8. Resultat de l'exerc.</t>
  </si>
  <si>
    <t>(7) Dont emprunts participatifs et CC bloqués</t>
  </si>
  <si>
    <t>CO1</t>
  </si>
  <si>
    <t>AA*</t>
  </si>
  <si>
    <t>AB*</t>
  </si>
  <si>
    <t>AD*</t>
  </si>
  <si>
    <t>AF*</t>
  </si>
  <si>
    <t>AH*</t>
  </si>
  <si>
    <t>AJ*</t>
  </si>
  <si>
    <t>AL*</t>
  </si>
  <si>
    <t>AN*</t>
  </si>
  <si>
    <t>AP*</t>
  </si>
  <si>
    <t>AR*</t>
  </si>
  <si>
    <t>AT*</t>
  </si>
  <si>
    <t>AV*</t>
  </si>
  <si>
    <t>AX*</t>
  </si>
  <si>
    <t>AZ*</t>
  </si>
  <si>
    <t>BB*</t>
  </si>
  <si>
    <t>BD*</t>
  </si>
  <si>
    <t>BF*</t>
  </si>
  <si>
    <t>BH*</t>
  </si>
  <si>
    <t>BJ*</t>
  </si>
  <si>
    <t>BL*</t>
  </si>
  <si>
    <t>BN*</t>
  </si>
  <si>
    <t>BP*</t>
  </si>
  <si>
    <t>BR*</t>
  </si>
  <si>
    <t>BT*</t>
  </si>
  <si>
    <t>BV*</t>
  </si>
  <si>
    <t>BX*</t>
  </si>
  <si>
    <t>BZ*</t>
  </si>
  <si>
    <t>CB*</t>
  </si>
  <si>
    <t>CD*</t>
  </si>
  <si>
    <t>CF*</t>
  </si>
  <si>
    <t>CH*</t>
  </si>
  <si>
    <t>CJ*</t>
  </si>
  <si>
    <t>CL*</t>
  </si>
  <si>
    <t>CM*</t>
  </si>
  <si>
    <t>CN*</t>
  </si>
  <si>
    <t>CO*</t>
  </si>
  <si>
    <t>intérêts titres</t>
  </si>
  <si>
    <t>1K</t>
  </si>
  <si>
    <t>BFR</t>
  </si>
  <si>
    <t>Dettes bancaires</t>
  </si>
  <si>
    <t>Concours bancaires</t>
  </si>
  <si>
    <t>Actif circulant</t>
  </si>
  <si>
    <t>BFR en jrs de CA</t>
  </si>
  <si>
    <t>Passif circulant</t>
  </si>
  <si>
    <t>TN en Jrs de CA</t>
  </si>
  <si>
    <t>RN</t>
  </si>
  <si>
    <t>,</t>
  </si>
  <si>
    <t>CAF</t>
  </si>
  <si>
    <t>CAF retraité except</t>
  </si>
  <si>
    <t>EBE</t>
  </si>
  <si>
    <t>Rex</t>
  </si>
  <si>
    <t>Les ratios de marge</t>
  </si>
  <si>
    <t>Année</t>
  </si>
  <si>
    <t xml:space="preserve">brut </t>
  </si>
  <si>
    <t>dep</t>
  </si>
  <si>
    <t xml:space="preserve">Net </t>
  </si>
  <si>
    <t>Taux de rotation des stocks (Chiffre d'affaires ÷ stock moyen )</t>
  </si>
  <si>
    <t>Temps d'écoulement des stocks  (stock moyen ÷ CA) x 365</t>
  </si>
  <si>
    <t xml:space="preserve">Stocks de marchandises / Coût d'achat des marchandises vendues (HT) * 360
</t>
  </si>
  <si>
    <t xml:space="preserve">Les ratios de délais
</t>
  </si>
  <si>
    <t>Délai de paiement des fournisseurs  (en Jours)</t>
  </si>
  <si>
    <t>Délai de paiement des clients (en Jours de CA)</t>
  </si>
  <si>
    <t>La capacité d’autofinancement (CAF )</t>
  </si>
  <si>
    <t xml:space="preserve">Les ratios de structure
</t>
  </si>
  <si>
    <t>Ratio de solvabilité ou d’autonomie financière</t>
  </si>
  <si>
    <t>(Capitaux propres / total passif )x 100</t>
  </si>
  <si>
    <t>Capitaux propres</t>
  </si>
  <si>
    <t>Total passif</t>
  </si>
  <si>
    <t>Ratio d’endettement net ou «net gearing »</t>
  </si>
  <si>
    <t>(Dette nette / Capitaux propres) x100</t>
  </si>
  <si>
    <t>Dette</t>
  </si>
  <si>
    <t>Le ratio capacité de remboursement</t>
  </si>
  <si>
    <t>Dettes financières LMT / CAF</t>
  </si>
  <si>
    <t>CT</t>
  </si>
  <si>
    <t>LMT</t>
  </si>
  <si>
    <t>Dettes LMT</t>
  </si>
  <si>
    <t xml:space="preserve">Dettes </t>
  </si>
  <si>
    <t>Dette nette</t>
  </si>
  <si>
    <t>Coût d'achat des marchandises vendues (HT) = achat + variation stock</t>
  </si>
  <si>
    <t>Attention dans le compte reprise il y a des transferts de charges  62ke en 2021 et 100ke en 2020</t>
  </si>
  <si>
    <t>Stock moyen  (stock de début + stock de fin) ÷ 2</t>
  </si>
  <si>
    <t>Var, ( 21/20) %</t>
  </si>
  <si>
    <t>Dette nette est &lt; 0, excellent</t>
  </si>
  <si>
    <t>1 an de CAF pour rembourser la dette</t>
  </si>
  <si>
    <t>Le ratio de solvabilité largement &gt; 20%</t>
  </si>
  <si>
    <t>FR en jrs de CA</t>
  </si>
  <si>
    <t>en K€</t>
  </si>
  <si>
    <t>Dettes Fournisseurs / (Achats et charges ext. T.T.C ) * 360</t>
  </si>
  <si>
    <t>(Créances Clients / Chiffre d’affaires T.T.C ) * 360</t>
  </si>
  <si>
    <t>TN ( FR-BFR)</t>
  </si>
  <si>
    <t>TN ( disponibilités -  concours bancaire)</t>
  </si>
  <si>
    <t xml:space="preserve">Comptes courants d'associés bloqués ==&gt; quasi fonds propres </t>
  </si>
  <si>
    <t>exploitation</t>
  </si>
  <si>
    <t>exceptionnelle</t>
  </si>
  <si>
    <t>financière</t>
  </si>
  <si>
    <r>
      <rPr>
        <sz val="11"/>
        <color rgb="FFFF0000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Dotation aux amortissement</t>
    </r>
  </si>
  <si>
    <r>
      <rPr>
        <b/>
        <sz val="12"/>
        <color rgb="FFFF0000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Reprise de provisions, les reprises d’amortissement</t>
    </r>
  </si>
  <si>
    <r>
      <rPr>
        <b/>
        <sz val="12"/>
        <color rgb="FFFF0000"/>
        <rFont val="Calibri"/>
        <family val="2"/>
        <scheme val="minor"/>
      </rPr>
      <t xml:space="preserve">+ </t>
    </r>
    <r>
      <rPr>
        <sz val="12"/>
        <rFont val="Calibri"/>
        <family val="2"/>
        <scheme val="minor"/>
      </rPr>
      <t>V</t>
    </r>
    <r>
      <rPr>
        <sz val="11"/>
        <rFont val="Calibri"/>
        <family val="2"/>
        <scheme val="minor"/>
      </rPr>
      <t xml:space="preserve">aleur nette comptable d'éléments d'actifs </t>
    </r>
  </si>
  <si>
    <r>
      <rPr>
        <b/>
        <sz val="14"/>
        <color rgb="FFFF0000"/>
        <rFont val="Calibri"/>
        <family val="2"/>
        <scheme val="minor"/>
      </rPr>
      <t>-</t>
    </r>
    <r>
      <rPr>
        <sz val="14"/>
        <rFont val="Calibri"/>
        <family val="2"/>
        <scheme val="minor"/>
      </rPr>
      <t xml:space="preserve"> P</t>
    </r>
    <r>
      <rPr>
        <sz val="11"/>
        <rFont val="Calibri"/>
        <family val="2"/>
        <scheme val="minor"/>
      </rPr>
      <t>roduits de cession des éléments d'actifs</t>
    </r>
  </si>
  <si>
    <r>
      <t xml:space="preserve">Marge brute d’exploitation: </t>
    </r>
    <r>
      <rPr>
        <sz val="10"/>
        <color rgb="FF000000"/>
        <rFont val="Arial"/>
        <family val="2"/>
      </rPr>
      <t>EBE / CA</t>
    </r>
  </si>
  <si>
    <r>
      <t xml:space="preserve">Marge nette d’exploitation: </t>
    </r>
    <r>
      <rPr>
        <sz val="10"/>
        <color rgb="FF000000"/>
        <rFont val="Arial"/>
        <family val="2"/>
      </rPr>
      <t>Résultat d’exploitation / CA</t>
    </r>
  </si>
  <si>
    <r>
      <t xml:space="preserve">Taux de marge nette: </t>
    </r>
    <r>
      <rPr>
        <sz val="10"/>
        <color rgb="FF000000"/>
        <rFont val="Arial"/>
        <family val="2"/>
      </rPr>
      <t>Résultat net / CA</t>
    </r>
  </si>
  <si>
    <t>CE qui signifie que le stock total a été écoulé 27 fois au cours des années 2021 et 2020</t>
  </si>
  <si>
    <t>Le ratio de rotation des stocks ( en jrs)</t>
  </si>
  <si>
    <t>Le nombre de jours de stockage est de 17 jrs en 2020 et 18 jrs en 2021</t>
  </si>
  <si>
    <r>
      <t xml:space="preserve">sauf accord entre les parties, le </t>
    </r>
    <r>
      <rPr>
        <i/>
        <sz val="10"/>
        <rFont val="Arial"/>
        <family val="2"/>
      </rPr>
      <t>délai</t>
    </r>
    <r>
      <rPr>
        <sz val="10"/>
        <rFont val="Arial"/>
        <family val="2"/>
      </rPr>
      <t xml:space="preserve"> de règlement est fixé à 30 </t>
    </r>
    <r>
      <rPr>
        <i/>
        <sz val="10"/>
        <rFont val="Arial"/>
        <family val="2"/>
      </rPr>
      <t>jours</t>
    </r>
    <r>
      <rPr>
        <sz val="10"/>
        <rFont val="Arial"/>
        <family val="2"/>
      </rPr>
      <t xml:space="preserve"> à compter de la date de réception des marchandises ou d'exécution de la prestation</t>
    </r>
  </si>
  <si>
    <t xml:space="preserve">https://www.economie.gouv.fr/dgccrf/Publications/Vie-pratique/fiches-pratiques/Delais-de-paiement </t>
  </si>
  <si>
    <t xml:space="preserve">https://www.economie.gouv.fr/cedef/delais-de-paiement-entre-entreprises </t>
  </si>
  <si>
    <t>Résultat net</t>
  </si>
  <si>
    <t xml:space="preserve">Le Fonds de Roulement (FR) , le Besoin en Fonds de Roulement (BFR)  et la trésorerie Nette (TN)  </t>
  </si>
  <si>
    <t>Hypothése ==&gt; except font parties de l'activité courante (exemple pour les loueurs)</t>
  </si>
  <si>
    <t xml:space="preserve">conf compte de résultat </t>
  </si>
  <si>
    <t xml:space="preserve">Emplois stables </t>
  </si>
  <si>
    <t>Ressources stables</t>
  </si>
  <si>
    <t xml:space="preserve"> En 2021 Pour 1 € de vente la sté  réalise 0,04 de résultat net</t>
  </si>
  <si>
    <t xml:space="preserve"> En 2021 Pour 1 € de vente la sté  réalise 0,06 de marge  après après déductions de tous les coûts de production</t>
  </si>
  <si>
    <t xml:space="preserve"> En 2021 Pour 1 € de vente la sté réalise 0,08 de marge  après paiement des fournisseurs et des salaires</t>
  </si>
  <si>
    <t>le stock est écoulé au bout de 14 jrs</t>
  </si>
  <si>
    <t>Pour faire un CA de 54220 et 52780 ils ont écoulé le stock 27 fois</t>
  </si>
  <si>
    <t>INFORMATIONS JURIDIQUES</t>
  </si>
  <si>
    <t>DIRIGEANT PRINCIPAL </t>
  </si>
  <si>
    <t>INFORMATIONS FINANCIÈRES</t>
  </si>
  <si>
    <t>INFORMATIONS CAPITALISTIQUES </t>
  </si>
  <si>
    <t>Seydina BA</t>
  </si>
  <si>
    <r>
      <rPr>
        <b/>
        <sz val="12"/>
        <rFont val="Arial"/>
        <family val="2"/>
      </rPr>
      <t>Enseigne</t>
    </r>
    <r>
      <rPr>
        <sz val="12"/>
        <rFont val="Arial"/>
        <family val="2"/>
      </rPr>
      <t>:SUPER U</t>
    </r>
  </si>
  <si>
    <r>
      <rPr>
        <b/>
        <sz val="12"/>
        <rFont val="Arial"/>
        <family val="2"/>
      </rPr>
      <t>Siège social:</t>
    </r>
    <r>
      <rPr>
        <sz val="12"/>
        <rFont val="Arial"/>
        <family val="2"/>
      </rPr>
      <t xml:space="preserve"> 180 ALL DES NOYERES RD 1205 - ROND POINT DE BALME 74300 MAGLAND - FRANCE</t>
    </r>
  </si>
  <si>
    <r>
      <rPr>
        <b/>
        <sz val="12"/>
        <rFont val="Arial"/>
        <family val="2"/>
      </rPr>
      <t xml:space="preserve">Forme Juridique: </t>
    </r>
    <r>
      <rPr>
        <sz val="12"/>
        <rFont val="Arial"/>
        <family val="2"/>
      </rPr>
      <t>5710 - Société par actions simplifiée (SAS)</t>
    </r>
  </si>
  <si>
    <r>
      <rPr>
        <b/>
        <sz val="12"/>
        <rFont val="Arial"/>
        <family val="2"/>
      </rPr>
      <t>Capital Socia:</t>
    </r>
    <r>
      <rPr>
        <sz val="12"/>
        <rFont val="Arial"/>
        <family val="2"/>
      </rPr>
      <t xml:space="preserve"> 1 250 000 €</t>
    </r>
  </si>
  <si>
    <r>
      <rPr>
        <b/>
        <sz val="12"/>
        <rFont val="Arial"/>
        <family val="2"/>
      </rPr>
      <t>RCS:</t>
    </r>
    <r>
      <rPr>
        <sz val="12"/>
        <rFont val="Arial"/>
        <family val="2"/>
      </rPr>
      <t xml:space="preserve"> ANNECY siren  111111111</t>
    </r>
  </si>
  <si>
    <r>
      <rPr>
        <b/>
        <sz val="12"/>
        <rFont val="Arial"/>
        <family val="2"/>
      </rPr>
      <t>Catégorie</t>
    </r>
    <r>
      <rPr>
        <sz val="12"/>
        <rFont val="Arial"/>
        <family val="2"/>
      </rPr>
      <t>: Petite ou Moyenne Entreprise</t>
    </r>
  </si>
  <si>
    <r>
      <rPr>
        <b/>
        <sz val="12"/>
        <rFont val="Arial"/>
        <family val="2"/>
      </rPr>
      <t>Date de création:</t>
    </r>
    <r>
      <rPr>
        <sz val="12"/>
        <rFont val="Arial"/>
        <family val="2"/>
      </rPr>
      <t xml:space="preserve"> 14/11/2013</t>
    </r>
  </si>
  <si>
    <r>
      <rPr>
        <b/>
        <sz val="12"/>
        <rFont val="Arial"/>
        <family val="2"/>
      </rPr>
      <t>Activité principale</t>
    </r>
    <r>
      <rPr>
        <sz val="12"/>
        <rFont val="Arial"/>
        <family val="2"/>
      </rPr>
      <t>: 4711D - Supermarchés</t>
    </r>
  </si>
  <si>
    <r>
      <rPr>
        <b/>
        <sz val="12"/>
        <rFont val="Arial"/>
        <family val="2"/>
      </rPr>
      <t>Raison sociale:</t>
    </r>
    <r>
      <rPr>
        <sz val="12"/>
        <rFont val="Arial"/>
        <family val="2"/>
      </rPr>
      <t xml:space="preserve"> SUPER U </t>
    </r>
  </si>
  <si>
    <r>
      <rPr>
        <b/>
        <sz val="12"/>
        <rFont val="Arial"/>
        <family val="2"/>
      </rPr>
      <t>Effectifs:</t>
    </r>
    <r>
      <rPr>
        <sz val="12"/>
        <rFont val="Arial"/>
        <family val="2"/>
      </rPr>
      <t xml:space="preserve"> </t>
    </r>
    <r>
      <rPr>
        <sz val="10.5"/>
        <rFont val="Arial"/>
        <family val="2"/>
      </rPr>
      <t>50</t>
    </r>
  </si>
  <si>
    <r>
      <rPr>
        <sz val="12"/>
        <rFont val="Arial"/>
        <family val="2"/>
      </rPr>
      <t>Groupe super U ( siren 222 222 222</t>
    </r>
    <r>
      <rPr>
        <sz val="10.5"/>
        <rFont val="Arial"/>
        <family val="2"/>
      </rPr>
      <t>)</t>
    </r>
  </si>
  <si>
    <r>
      <rPr>
        <b/>
        <sz val="12"/>
        <rFont val="Arial"/>
        <family val="2"/>
      </rPr>
      <t>N° de T.V.A:</t>
    </r>
    <r>
      <rPr>
        <sz val="12"/>
        <rFont val="Arial"/>
        <family val="2"/>
      </rPr>
      <t> FR 74 111111111</t>
    </r>
  </si>
  <si>
    <t xml:space="preserve">          TOTAL (I) Capitaux propres</t>
  </si>
  <si>
    <t>LME</t>
  </si>
  <si>
    <r>
      <t xml:space="preserve">Le temps </t>
    </r>
    <r>
      <rPr>
        <b/>
        <sz val="10"/>
        <color rgb="FF000000"/>
        <rFont val="Arial"/>
        <family val="2"/>
      </rPr>
      <t>moyen</t>
    </r>
    <r>
      <rPr>
        <sz val="10"/>
        <color rgb="FF000000"/>
        <rFont val="Arial"/>
        <family val="2"/>
      </rPr>
      <t xml:space="preserve"> d'écoulement des stocks est donc de 14 jours ( 2020 et 2021)</t>
    </r>
  </si>
  <si>
    <t>Téléphone: +33 4 50 18 98 ..</t>
  </si>
  <si>
    <t>Trésorerie ( dispo + VMP)</t>
  </si>
  <si>
    <r>
      <t xml:space="preserve">Emp. &amp; dettes fin. Divers ( dt </t>
    </r>
    <r>
      <rPr>
        <sz val="14"/>
        <color rgb="FFFF0000"/>
        <rFont val="Arial"/>
        <family val="2"/>
      </rPr>
      <t>958 comptes courants associés bloqués</t>
    </r>
    <r>
      <rPr>
        <sz val="14"/>
        <rFont val="Arial"/>
        <family val="2"/>
      </rPr>
      <t>)</t>
    </r>
  </si>
  <si>
    <t>Varition stcoks</t>
  </si>
  <si>
    <t>Les ratios de rotation de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</si>
</sst>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_€_-;\-* #,##0.00\ _€_-;_-* &quot;-&quot;??\ _€_-;_-@_-"/>
    <numFmt numFmtId="165" formatCode="0_)"/>
    <numFmt numFmtId="166" formatCode="0.0_)"/>
    <numFmt numFmtId="167" formatCode="#,##0.0"/>
    <numFmt numFmtId="168" formatCode="#,##0_ ;[Red]\-#,##0\ "/>
    <numFmt numFmtId="169" formatCode="0_ ;[Red]\-0\ "/>
    <numFmt numFmtId="170" formatCode="_-* #,##0\ _€_-;\-* #,##0\ _€_-;_-* &quot;-&quot;??\ _€_-;_-@_-"/>
    <numFmt numFmtId="171" formatCode="#,##0_ ;\-#,##0\ "/>
    <numFmt numFmtId="172" formatCode="#,##0.0_ ;\-#,##0.0\ "/>
  </numFmts>
  <fonts count="53" x14ac:knownFonts="1">
    <font>
      <sz val="10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8"/>
      <name val="Courier"/>
      <family val="3"/>
    </font>
    <font>
      <b/>
      <sz val="12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Arial"/>
      <family val="2"/>
    </font>
    <font>
      <u/>
      <sz val="10"/>
      <color theme="10"/>
      <name val="Courier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"/>
      <family val="2"/>
    </font>
    <font>
      <b/>
      <sz val="14.5"/>
      <color rgb="FF041F3D"/>
      <name val="Arial"/>
      <family val="2"/>
    </font>
    <font>
      <sz val="10.5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sz val="14"/>
      <color rgb="FFFF0000"/>
      <name val="Arial"/>
      <family val="2"/>
    </font>
    <font>
      <b/>
      <i/>
      <sz val="14"/>
      <name val="Arial"/>
      <family val="2"/>
    </font>
    <font>
      <sz val="14"/>
      <color indexed="12"/>
      <name val="Arial"/>
      <family val="2"/>
    </font>
    <font>
      <b/>
      <sz val="14"/>
      <color indexed="12"/>
      <name val="Arial"/>
      <family val="2"/>
    </font>
    <font>
      <i/>
      <sz val="14"/>
      <name val="Arial"/>
      <family val="2"/>
    </font>
    <font>
      <b/>
      <sz val="14"/>
      <color indexed="10"/>
      <name val="Arial"/>
      <family val="2"/>
    </font>
    <font>
      <i/>
      <sz val="14"/>
      <color indexed="12"/>
      <name val="Arial"/>
      <family val="2"/>
    </font>
    <font>
      <sz val="10"/>
      <color rgb="FFFF0000"/>
      <name val="Arial"/>
      <family val="2"/>
    </font>
    <font>
      <sz val="10"/>
      <color rgb="FFFF0000"/>
      <name val="Courier"/>
    </font>
    <font>
      <b/>
      <sz val="12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165" fontId="0" fillId="0" borderId="0"/>
    <xf numFmtId="4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8" fillId="0" borderId="0" applyFont="0" applyFill="0" applyBorder="0" applyAlignment="0" applyProtection="0"/>
    <xf numFmtId="165" fontId="32" fillId="0" borderId="0" applyNumberFormat="0" applyFill="0" applyBorder="0" applyAlignment="0" applyProtection="0"/>
  </cellStyleXfs>
  <cellXfs count="232">
    <xf numFmtId="165" fontId="0" fillId="0" borderId="0" xfId="0"/>
    <xf numFmtId="165" fontId="9" fillId="0" borderId="0" xfId="0" applyFont="1" applyAlignment="1">
      <alignment horizontal="left"/>
    </xf>
    <xf numFmtId="165" fontId="8" fillId="0" borderId="0" xfId="0" applyFont="1"/>
    <xf numFmtId="165" fontId="8" fillId="0" borderId="0" xfId="0" applyFont="1" applyAlignment="1">
      <alignment horizontal="left"/>
    </xf>
    <xf numFmtId="165" fontId="11" fillId="0" borderId="0" xfId="0" applyFont="1" applyAlignment="1">
      <alignment horizontal="centerContinuous"/>
    </xf>
    <xf numFmtId="165" fontId="8" fillId="0" borderId="0" xfId="0" applyFont="1" applyAlignment="1">
      <alignment horizontal="centerContinuous"/>
    </xf>
    <xf numFmtId="165" fontId="8" fillId="0" borderId="1" xfId="0" applyFont="1" applyBorder="1" applyAlignment="1">
      <alignment horizontal="left"/>
    </xf>
    <xf numFmtId="165" fontId="8" fillId="0" borderId="1" xfId="0" quotePrefix="1" applyFont="1" applyBorder="1" applyAlignment="1">
      <alignment horizontal="left"/>
    </xf>
    <xf numFmtId="165" fontId="8" fillId="0" borderId="1" xfId="0" applyFont="1" applyBorder="1" applyAlignment="1">
      <alignment horizontal="fill"/>
    </xf>
    <xf numFmtId="165" fontId="12" fillId="0" borderId="1" xfId="0" applyFont="1" applyBorder="1" applyAlignment="1">
      <alignment horizontal="left"/>
    </xf>
    <xf numFmtId="165" fontId="8" fillId="0" borderId="3" xfId="0" applyFont="1" applyBorder="1" applyAlignment="1">
      <alignment horizontal="fill"/>
    </xf>
    <xf numFmtId="165" fontId="8" fillId="0" borderId="5" xfId="0" applyFont="1" applyBorder="1" applyAlignment="1">
      <alignment horizontal="left"/>
    </xf>
    <xf numFmtId="165" fontId="8" fillId="0" borderId="1" xfId="0" applyFont="1" applyBorder="1"/>
    <xf numFmtId="165" fontId="8" fillId="0" borderId="4" xfId="0" applyFont="1" applyBorder="1"/>
    <xf numFmtId="15" fontId="8" fillId="0" borderId="0" xfId="0" applyNumberFormat="1" applyFont="1" applyAlignment="1">
      <alignment horizontal="left"/>
    </xf>
    <xf numFmtId="165" fontId="8" fillId="0" borderId="5" xfId="0" applyFont="1" applyBorder="1" applyAlignment="1">
      <alignment horizontal="center"/>
    </xf>
    <xf numFmtId="165" fontId="7" fillId="0" borderId="1" xfId="0" applyFont="1" applyBorder="1" applyAlignment="1">
      <alignment horizontal="left"/>
    </xf>
    <xf numFmtId="165" fontId="8" fillId="0" borderId="1" xfId="0" applyFont="1" applyBorder="1" applyAlignment="1">
      <alignment horizontal="center"/>
    </xf>
    <xf numFmtId="165" fontId="8" fillId="0" borderId="3" xfId="0" quotePrefix="1" applyFont="1" applyBorder="1" applyAlignment="1">
      <alignment horizontal="fill"/>
    </xf>
    <xf numFmtId="165" fontId="12" fillId="0" borderId="1" xfId="0" applyFont="1" applyBorder="1" applyAlignment="1">
      <alignment horizontal="center"/>
    </xf>
    <xf numFmtId="165" fontId="7" fillId="0" borderId="1" xfId="0" applyFont="1" applyBorder="1" applyAlignment="1">
      <alignment horizontal="center"/>
    </xf>
    <xf numFmtId="165" fontId="8" fillId="0" borderId="3" xfId="0" applyFont="1" applyBorder="1"/>
    <xf numFmtId="165" fontId="8" fillId="0" borderId="9" xfId="0" applyFont="1" applyBorder="1"/>
    <xf numFmtId="165" fontId="7" fillId="4" borderId="1" xfId="0" quotePrefix="1" applyFont="1" applyFill="1" applyBorder="1" applyAlignment="1">
      <alignment horizontal="left"/>
    </xf>
    <xf numFmtId="165" fontId="7" fillId="4" borderId="0" xfId="0" applyFont="1" applyFill="1"/>
    <xf numFmtId="165" fontId="7" fillId="4" borderId="0" xfId="0" applyFont="1" applyFill="1" applyAlignment="1">
      <alignment horizontal="center"/>
    </xf>
    <xf numFmtId="165" fontId="7" fillId="4" borderId="12" xfId="0" applyFont="1" applyFill="1" applyBorder="1" applyAlignment="1">
      <alignment horizontal="center"/>
    </xf>
    <xf numFmtId="165" fontId="13" fillId="2" borderId="2" xfId="0" applyFont="1" applyFill="1" applyBorder="1" applyProtection="1">
      <protection locked="0"/>
    </xf>
    <xf numFmtId="165" fontId="13" fillId="2" borderId="12" xfId="0" applyFont="1" applyFill="1" applyBorder="1" applyProtection="1">
      <protection locked="0"/>
    </xf>
    <xf numFmtId="165" fontId="8" fillId="2" borderId="2" xfId="0" applyFont="1" applyFill="1" applyBorder="1"/>
    <xf numFmtId="165" fontId="8" fillId="2" borderId="12" xfId="0" applyFont="1" applyFill="1" applyBorder="1"/>
    <xf numFmtId="165" fontId="8" fillId="2" borderId="4" xfId="0" applyFont="1" applyFill="1" applyBorder="1" applyAlignment="1">
      <alignment horizontal="fill"/>
    </xf>
    <xf numFmtId="165" fontId="8" fillId="2" borderId="13" xfId="0" applyFont="1" applyFill="1" applyBorder="1" applyAlignment="1">
      <alignment horizontal="fill"/>
    </xf>
    <xf numFmtId="165" fontId="8" fillId="2" borderId="9" xfId="0" applyFont="1" applyFill="1" applyBorder="1"/>
    <xf numFmtId="165" fontId="13" fillId="2" borderId="11" xfId="0" applyFont="1" applyFill="1" applyBorder="1" applyProtection="1">
      <protection locked="0"/>
    </xf>
    <xf numFmtId="165" fontId="8" fillId="2" borderId="12" xfId="0" applyFont="1" applyFill="1" applyBorder="1" applyAlignment="1">
      <alignment horizontal="fill"/>
    </xf>
    <xf numFmtId="165" fontId="7" fillId="4" borderId="5" xfId="0" quotePrefix="1" applyFont="1" applyFill="1" applyBorder="1" applyAlignment="1">
      <alignment horizontal="fill"/>
    </xf>
    <xf numFmtId="165" fontId="7" fillId="4" borderId="10" xfId="0" applyFont="1" applyFill="1" applyBorder="1" applyAlignment="1">
      <alignment horizontal="fill"/>
    </xf>
    <xf numFmtId="165" fontId="7" fillId="4" borderId="11" xfId="0" applyFont="1" applyFill="1" applyBorder="1" applyAlignment="1">
      <alignment horizontal="fill"/>
    </xf>
    <xf numFmtId="165" fontId="7" fillId="4" borderId="3" xfId="0" quotePrefix="1" applyFont="1" applyFill="1" applyBorder="1" applyAlignment="1">
      <alignment horizontal="fill"/>
    </xf>
    <xf numFmtId="165" fontId="7" fillId="4" borderId="7" xfId="0" applyFont="1" applyFill="1" applyBorder="1" applyAlignment="1">
      <alignment horizontal="fill"/>
    </xf>
    <xf numFmtId="165" fontId="7" fillId="4" borderId="13" xfId="0" applyFont="1" applyFill="1" applyBorder="1" applyAlignment="1">
      <alignment horizontal="fill"/>
    </xf>
    <xf numFmtId="166" fontId="8" fillId="0" borderId="0" xfId="0" applyNumberFormat="1" applyFont="1"/>
    <xf numFmtId="0" fontId="8" fillId="0" borderId="3" xfId="0" applyNumberFormat="1" applyFont="1" applyBorder="1" applyAlignment="1">
      <alignment horizontal="fill"/>
    </xf>
    <xf numFmtId="165" fontId="13" fillId="2" borderId="9" xfId="0" applyFont="1" applyFill="1" applyBorder="1"/>
    <xf numFmtId="165" fontId="8" fillId="0" borderId="0" xfId="0" applyFont="1" applyAlignment="1">
      <alignment wrapText="1"/>
    </xf>
    <xf numFmtId="165" fontId="13" fillId="2" borderId="8" xfId="0" applyFont="1" applyFill="1" applyBorder="1" applyProtection="1">
      <protection locked="0"/>
    </xf>
    <xf numFmtId="165" fontId="8" fillId="2" borderId="2" xfId="0" applyFont="1" applyFill="1" applyBorder="1" applyAlignment="1">
      <alignment horizontal="fill"/>
    </xf>
    <xf numFmtId="38" fontId="13" fillId="2" borderId="4" xfId="1" applyNumberFormat="1" applyFont="1" applyFill="1" applyBorder="1" applyAlignment="1">
      <alignment horizontal="center"/>
    </xf>
    <xf numFmtId="165" fontId="8" fillId="0" borderId="0" xfId="0" applyFont="1" applyAlignment="1">
      <alignment horizontal="center"/>
    </xf>
    <xf numFmtId="165" fontId="15" fillId="0" borderId="0" xfId="0" applyFont="1"/>
    <xf numFmtId="0" fontId="16" fillId="0" borderId="0" xfId="3"/>
    <xf numFmtId="170" fontId="16" fillId="0" borderId="0" xfId="4" applyNumberFormat="1" applyFont="1" applyFill="1"/>
    <xf numFmtId="17" fontId="16" fillId="0" borderId="0" xfId="3" quotePrefix="1" applyNumberFormat="1" applyAlignment="1">
      <alignment horizontal="center"/>
    </xf>
    <xf numFmtId="0" fontId="16" fillId="0" borderId="0" xfId="3" quotePrefix="1" applyAlignment="1">
      <alignment horizontal="left"/>
    </xf>
    <xf numFmtId="165" fontId="23" fillId="0" borderId="0" xfId="0" applyFont="1" applyAlignment="1">
      <alignment horizontal="center"/>
    </xf>
    <xf numFmtId="165" fontId="23" fillId="0" borderId="0" xfId="0" applyFont="1"/>
    <xf numFmtId="165" fontId="21" fillId="0" borderId="0" xfId="0" applyFont="1" applyAlignment="1">
      <alignment horizontal="justify" vertical="center" readingOrder="1"/>
    </xf>
    <xf numFmtId="165" fontId="19" fillId="0" borderId="0" xfId="0" applyFont="1" applyAlignment="1">
      <alignment horizontal="left" vertical="center" readingOrder="1"/>
    </xf>
    <xf numFmtId="165" fontId="22" fillId="0" borderId="0" xfId="0" applyFont="1" applyAlignment="1">
      <alignment horizontal="left" vertical="center" readingOrder="1"/>
    </xf>
    <xf numFmtId="165" fontId="21" fillId="0" borderId="0" xfId="0" applyFont="1" applyAlignment="1">
      <alignment horizontal="justify" vertical="center" wrapText="1" readingOrder="1"/>
    </xf>
    <xf numFmtId="1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0" fontId="17" fillId="0" borderId="0" xfId="3" quotePrefix="1" applyFont="1" applyAlignment="1">
      <alignment horizontal="left"/>
    </xf>
    <xf numFmtId="171" fontId="16" fillId="0" borderId="0" xfId="4" applyNumberFormat="1" applyFont="1" applyAlignment="1">
      <alignment horizontal="center"/>
    </xf>
    <xf numFmtId="171" fontId="16" fillId="5" borderId="0" xfId="4" applyNumberFormat="1" applyFont="1" applyFill="1" applyAlignment="1">
      <alignment horizontal="center"/>
    </xf>
    <xf numFmtId="171" fontId="16" fillId="7" borderId="0" xfId="4" applyNumberFormat="1" applyFont="1" applyFill="1" applyAlignment="1">
      <alignment horizontal="center"/>
    </xf>
    <xf numFmtId="0" fontId="17" fillId="6" borderId="0" xfId="3" applyFont="1" applyFill="1"/>
    <xf numFmtId="0" fontId="17" fillId="7" borderId="0" xfId="3" applyFont="1" applyFill="1"/>
    <xf numFmtId="165" fontId="20" fillId="0" borderId="0" xfId="0" applyFont="1" applyAlignment="1">
      <alignment horizontal="justify" vertical="center" readingOrder="1"/>
    </xf>
    <xf numFmtId="3" fontId="16" fillId="0" borderId="0" xfId="4" applyNumberFormat="1" applyFont="1" applyAlignment="1">
      <alignment horizontal="center"/>
    </xf>
    <xf numFmtId="4" fontId="16" fillId="0" borderId="0" xfId="4" applyNumberFormat="1" applyFont="1" applyAlignment="1">
      <alignment horizontal="center"/>
    </xf>
    <xf numFmtId="0" fontId="17" fillId="0" borderId="0" xfId="3" quotePrefix="1" applyFont="1" applyAlignment="1">
      <alignment horizontal="left" wrapText="1"/>
    </xf>
    <xf numFmtId="0" fontId="5" fillId="0" borderId="0" xfId="3" applyFont="1" applyAlignment="1">
      <alignment horizontal="right"/>
    </xf>
    <xf numFmtId="0" fontId="5" fillId="0" borderId="0" xfId="3" quotePrefix="1" applyFont="1"/>
    <xf numFmtId="0" fontId="5" fillId="0" borderId="0" xfId="3" quotePrefix="1" applyFont="1" applyAlignment="1">
      <alignment horizontal="left"/>
    </xf>
    <xf numFmtId="9" fontId="10" fillId="9" borderId="0" xfId="2" applyFont="1" applyFill="1" applyAlignment="1">
      <alignment horizontal="center"/>
    </xf>
    <xf numFmtId="167" fontId="31" fillId="9" borderId="0" xfId="4" applyNumberFormat="1" applyFont="1" applyFill="1" applyAlignment="1">
      <alignment horizontal="center" vertical="center"/>
    </xf>
    <xf numFmtId="165" fontId="33" fillId="0" borderId="0" xfId="12" applyFont="1"/>
    <xf numFmtId="165" fontId="20" fillId="0" borderId="0" xfId="0" applyFont="1" applyAlignment="1">
      <alignment horizontal="left" vertical="center" readingOrder="1"/>
    </xf>
    <xf numFmtId="0" fontId="34" fillId="8" borderId="0" xfId="3" quotePrefix="1" applyFont="1" applyFill="1" applyAlignment="1">
      <alignment horizontal="left"/>
    </xf>
    <xf numFmtId="171" fontId="34" fillId="8" borderId="0" xfId="4" applyNumberFormat="1" applyFont="1" applyFill="1" applyAlignment="1">
      <alignment horizontal="center"/>
    </xf>
    <xf numFmtId="171" fontId="34" fillId="8" borderId="0" xfId="4" applyNumberFormat="1" applyFont="1" applyFill="1" applyAlignment="1">
      <alignment horizontal="center" vertical="center"/>
    </xf>
    <xf numFmtId="0" fontId="5" fillId="0" borderId="0" xfId="3" applyFont="1"/>
    <xf numFmtId="3" fontId="10" fillId="6" borderId="0" xfId="0" applyNumberFormat="1" applyFont="1" applyFill="1" applyAlignment="1">
      <alignment horizontal="center"/>
    </xf>
    <xf numFmtId="169" fontId="10" fillId="6" borderId="0" xfId="0" applyNumberFormat="1" applyFont="1" applyFill="1" applyAlignment="1">
      <alignment horizontal="center"/>
    </xf>
    <xf numFmtId="168" fontId="10" fillId="6" borderId="0" xfId="0" applyNumberFormat="1" applyFont="1" applyFill="1" applyAlignment="1">
      <alignment horizontal="center"/>
    </xf>
    <xf numFmtId="1" fontId="10" fillId="6" borderId="0" xfId="0" applyNumberFormat="1" applyFont="1" applyFill="1" applyAlignment="1">
      <alignment horizontal="center"/>
    </xf>
    <xf numFmtId="171" fontId="17" fillId="6" borderId="0" xfId="4" applyNumberFormat="1" applyFont="1" applyFill="1" applyAlignment="1">
      <alignment horizontal="center"/>
    </xf>
    <xf numFmtId="165" fontId="10" fillId="0" borderId="0" xfId="0" applyFont="1"/>
    <xf numFmtId="0" fontId="4" fillId="0" borderId="0" xfId="3" quotePrefix="1" applyFont="1" applyAlignment="1">
      <alignment horizontal="left"/>
    </xf>
    <xf numFmtId="0" fontId="3" fillId="0" borderId="0" xfId="3" quotePrefix="1" applyFont="1" applyAlignment="1">
      <alignment horizontal="left"/>
    </xf>
    <xf numFmtId="165" fontId="0" fillId="10" borderId="0" xfId="0" applyFill="1"/>
    <xf numFmtId="165" fontId="8" fillId="10" borderId="0" xfId="0" applyFont="1" applyFill="1"/>
    <xf numFmtId="165" fontId="0" fillId="10" borderId="16" xfId="0" applyFill="1" applyBorder="1"/>
    <xf numFmtId="165" fontId="0" fillId="10" borderId="17" xfId="0" applyFill="1" applyBorder="1"/>
    <xf numFmtId="165" fontId="0" fillId="10" borderId="18" xfId="0" applyFill="1" applyBorder="1"/>
    <xf numFmtId="165" fontId="37" fillId="10" borderId="19" xfId="0" applyFont="1" applyFill="1" applyBorder="1" applyAlignment="1">
      <alignment vertical="center"/>
    </xf>
    <xf numFmtId="165" fontId="0" fillId="10" borderId="20" xfId="0" applyFill="1" applyBorder="1"/>
    <xf numFmtId="165" fontId="38" fillId="10" borderId="19" xfId="0" applyFont="1" applyFill="1" applyBorder="1" applyAlignment="1">
      <alignment vertical="center"/>
    </xf>
    <xf numFmtId="165" fontId="39" fillId="10" borderId="19" xfId="0" applyFont="1" applyFill="1" applyBorder="1" applyAlignment="1">
      <alignment vertical="center"/>
    </xf>
    <xf numFmtId="165" fontId="0" fillId="10" borderId="21" xfId="0" applyFill="1" applyBorder="1"/>
    <xf numFmtId="165" fontId="0" fillId="10" borderId="22" xfId="0" applyFill="1" applyBorder="1"/>
    <xf numFmtId="165" fontId="0" fillId="10" borderId="23" xfId="0" applyFill="1" applyBorder="1"/>
    <xf numFmtId="15" fontId="41" fillId="0" borderId="0" xfId="0" applyNumberFormat="1" applyFont="1" applyAlignment="1">
      <alignment horizontal="left"/>
    </xf>
    <xf numFmtId="165" fontId="41" fillId="0" borderId="0" xfId="0" applyFont="1"/>
    <xf numFmtId="165" fontId="42" fillId="0" borderId="0" xfId="0" applyFont="1" applyAlignment="1">
      <alignment horizontal="centerContinuous"/>
    </xf>
    <xf numFmtId="165" fontId="41" fillId="0" borderId="0" xfId="0" applyFont="1" applyAlignment="1">
      <alignment horizontal="centerContinuous"/>
    </xf>
    <xf numFmtId="165" fontId="41" fillId="0" borderId="0" xfId="0" applyFont="1" applyAlignment="1">
      <alignment horizontal="left"/>
    </xf>
    <xf numFmtId="165" fontId="43" fillId="0" borderId="0" xfId="0" applyFont="1"/>
    <xf numFmtId="165" fontId="41" fillId="4" borderId="5" xfId="0" quotePrefix="1" applyFont="1" applyFill="1" applyBorder="1" applyAlignment="1">
      <alignment horizontal="fill"/>
    </xf>
    <xf numFmtId="165" fontId="41" fillId="4" borderId="10" xfId="0" applyFont="1" applyFill="1" applyBorder="1" applyAlignment="1">
      <alignment horizontal="fill"/>
    </xf>
    <xf numFmtId="165" fontId="41" fillId="4" borderId="11" xfId="0" applyFont="1" applyFill="1" applyBorder="1" applyAlignment="1">
      <alignment horizontal="fill"/>
    </xf>
    <xf numFmtId="165" fontId="44" fillId="4" borderId="1" xfId="0" quotePrefix="1" applyFont="1" applyFill="1" applyBorder="1" applyAlignment="1">
      <alignment horizontal="left"/>
    </xf>
    <xf numFmtId="165" fontId="44" fillId="4" borderId="0" xfId="0" applyFont="1" applyFill="1"/>
    <xf numFmtId="14" fontId="24" fillId="4" borderId="2" xfId="0" applyNumberFormat="1" applyFont="1" applyFill="1" applyBorder="1" applyAlignment="1">
      <alignment horizontal="center"/>
    </xf>
    <xf numFmtId="165" fontId="41" fillId="4" borderId="3" xfId="0" quotePrefix="1" applyFont="1" applyFill="1" applyBorder="1" applyAlignment="1">
      <alignment horizontal="fill"/>
    </xf>
    <xf numFmtId="165" fontId="41" fillId="4" borderId="7" xfId="0" applyFont="1" applyFill="1" applyBorder="1" applyAlignment="1">
      <alignment horizontal="fill"/>
    </xf>
    <xf numFmtId="165" fontId="41" fillId="4" borderId="4" xfId="0" applyFont="1" applyFill="1" applyBorder="1" applyAlignment="1">
      <alignment horizontal="fill"/>
    </xf>
    <xf numFmtId="165" fontId="41" fillId="0" borderId="5" xfId="0" applyFont="1" applyBorder="1" applyAlignment="1">
      <alignment horizontal="left"/>
    </xf>
    <xf numFmtId="165" fontId="41" fillId="0" borderId="5" xfId="0" applyFont="1" applyBorder="1" applyAlignment="1">
      <alignment horizontal="center"/>
    </xf>
    <xf numFmtId="165" fontId="45" fillId="2" borderId="8" xfId="0" applyFont="1" applyFill="1" applyBorder="1" applyProtection="1">
      <protection locked="0"/>
    </xf>
    <xf numFmtId="165" fontId="41" fillId="0" borderId="1" xfId="0" applyFont="1" applyBorder="1" applyAlignment="1">
      <alignment horizontal="left"/>
    </xf>
    <xf numFmtId="165" fontId="41" fillId="0" borderId="1" xfId="0" applyFont="1" applyBorder="1" applyAlignment="1">
      <alignment horizontal="center"/>
    </xf>
    <xf numFmtId="165" fontId="45" fillId="2" borderId="2" xfId="0" applyFont="1" applyFill="1" applyBorder="1" applyProtection="1">
      <protection locked="0"/>
    </xf>
    <xf numFmtId="165" fontId="24" fillId="11" borderId="1" xfId="0" applyFont="1" applyFill="1" applyBorder="1" applyAlignment="1">
      <alignment horizontal="left"/>
    </xf>
    <xf numFmtId="165" fontId="24" fillId="11" borderId="1" xfId="0" applyFont="1" applyFill="1" applyBorder="1" applyAlignment="1">
      <alignment horizontal="center"/>
    </xf>
    <xf numFmtId="165" fontId="46" fillId="11" borderId="2" xfId="0" applyFont="1" applyFill="1" applyBorder="1" applyProtection="1">
      <protection locked="0"/>
    </xf>
    <xf numFmtId="165" fontId="44" fillId="11" borderId="1" xfId="0" applyFont="1" applyFill="1" applyBorder="1" applyAlignment="1">
      <alignment horizontal="center"/>
    </xf>
    <xf numFmtId="165" fontId="41" fillId="0" borderId="1" xfId="0" applyFont="1" applyBorder="1"/>
    <xf numFmtId="165" fontId="41" fillId="2" borderId="4" xfId="0" applyFont="1" applyFill="1" applyBorder="1" applyAlignment="1">
      <alignment horizontal="fill"/>
    </xf>
    <xf numFmtId="165" fontId="41" fillId="11" borderId="1" xfId="0" applyFont="1" applyFill="1" applyBorder="1" applyAlignment="1">
      <alignment horizontal="left"/>
    </xf>
    <xf numFmtId="165" fontId="47" fillId="11" borderId="1" xfId="0" applyFont="1" applyFill="1" applyBorder="1" applyAlignment="1">
      <alignment horizontal="center"/>
    </xf>
    <xf numFmtId="165" fontId="41" fillId="0" borderId="3" xfId="0" quotePrefix="1" applyFont="1" applyBorder="1" applyAlignment="1">
      <alignment horizontal="fill"/>
    </xf>
    <xf numFmtId="165" fontId="41" fillId="0" borderId="3" xfId="0" applyFont="1" applyBorder="1" applyAlignment="1">
      <alignment horizontal="fill"/>
    </xf>
    <xf numFmtId="165" fontId="41" fillId="2" borderId="2" xfId="0" applyFont="1" applyFill="1" applyBorder="1"/>
    <xf numFmtId="165" fontId="41" fillId="0" borderId="1" xfId="0" quotePrefix="1" applyFont="1" applyBorder="1" applyAlignment="1">
      <alignment horizontal="left"/>
    </xf>
    <xf numFmtId="165" fontId="45" fillId="11" borderId="2" xfId="0" applyFont="1" applyFill="1" applyBorder="1" applyProtection="1">
      <protection locked="0"/>
    </xf>
    <xf numFmtId="165" fontId="46" fillId="11" borderId="2" xfId="0" applyFont="1" applyFill="1" applyBorder="1"/>
    <xf numFmtId="165" fontId="24" fillId="2" borderId="4" xfId="0" applyFont="1" applyFill="1" applyBorder="1" applyAlignment="1">
      <alignment horizontal="fill"/>
    </xf>
    <xf numFmtId="165" fontId="41" fillId="0" borderId="3" xfId="0" applyFont="1" applyBorder="1" applyAlignment="1">
      <alignment horizontal="left"/>
    </xf>
    <xf numFmtId="165" fontId="41" fillId="0" borderId="1" xfId="0" applyFont="1" applyBorder="1" applyAlignment="1">
      <alignment horizontal="fill"/>
    </xf>
    <xf numFmtId="165" fontId="24" fillId="0" borderId="1" xfId="0" applyFont="1" applyBorder="1" applyAlignment="1">
      <alignment horizontal="left"/>
    </xf>
    <xf numFmtId="165" fontId="44" fillId="0" borderId="1" xfId="0" applyFont="1" applyBorder="1" applyAlignment="1">
      <alignment horizontal="center"/>
    </xf>
    <xf numFmtId="165" fontId="46" fillId="2" borderId="2" xfId="0" applyFont="1" applyFill="1" applyBorder="1" applyProtection="1">
      <protection locked="0"/>
    </xf>
    <xf numFmtId="165" fontId="41" fillId="2" borderId="2" xfId="0" applyFont="1" applyFill="1" applyBorder="1" applyAlignment="1">
      <alignment horizontal="fill"/>
    </xf>
    <xf numFmtId="0" fontId="41" fillId="0" borderId="3" xfId="0" applyNumberFormat="1" applyFont="1" applyBorder="1" applyAlignment="1">
      <alignment horizontal="fill"/>
    </xf>
    <xf numFmtId="165" fontId="41" fillId="0" borderId="9" xfId="0" applyFont="1" applyBorder="1"/>
    <xf numFmtId="165" fontId="41" fillId="0" borderId="15" xfId="0" applyFont="1" applyBorder="1"/>
    <xf numFmtId="165" fontId="45" fillId="2" borderId="9" xfId="0" applyFont="1" applyFill="1" applyBorder="1"/>
    <xf numFmtId="165" fontId="41" fillId="0" borderId="4" xfId="0" applyFont="1" applyBorder="1"/>
    <xf numFmtId="165" fontId="41" fillId="0" borderId="3" xfId="0" applyFont="1" applyBorder="1"/>
    <xf numFmtId="38" fontId="45" fillId="2" borderId="4" xfId="1" applyNumberFormat="1" applyFont="1" applyFill="1" applyBorder="1" applyAlignment="1">
      <alignment horizontal="center"/>
    </xf>
    <xf numFmtId="0" fontId="2" fillId="0" borderId="0" xfId="3" applyFont="1"/>
    <xf numFmtId="165" fontId="24" fillId="0" borderId="0" xfId="0" applyFont="1" applyAlignment="1">
      <alignment horizontal="left"/>
    </xf>
    <xf numFmtId="165" fontId="48" fillId="0" borderId="0" xfId="0" applyFont="1"/>
    <xf numFmtId="165" fontId="41" fillId="0" borderId="0" xfId="0" quotePrefix="1" applyFont="1" applyAlignment="1">
      <alignment horizontal="center"/>
    </xf>
    <xf numFmtId="165" fontId="42" fillId="0" borderId="0" xfId="0" quotePrefix="1" applyFont="1" applyAlignment="1">
      <alignment horizontal="centerContinuous"/>
    </xf>
    <xf numFmtId="165" fontId="41" fillId="0" borderId="0" xfId="0" applyFont="1" applyAlignment="1">
      <alignment horizontal="centerContinuous" vertical="center"/>
    </xf>
    <xf numFmtId="165" fontId="44" fillId="0" borderId="1" xfId="0" applyFont="1" applyBorder="1" applyAlignment="1">
      <alignment horizontal="left"/>
    </xf>
    <xf numFmtId="165" fontId="45" fillId="2" borderId="2" xfId="0" applyFont="1" applyFill="1" applyBorder="1"/>
    <xf numFmtId="165" fontId="44" fillId="11" borderId="1" xfId="0" applyFont="1" applyFill="1" applyBorder="1" applyAlignment="1">
      <alignment horizontal="left"/>
    </xf>
    <xf numFmtId="165" fontId="41" fillId="0" borderId="5" xfId="0" quotePrefix="1" applyFont="1" applyBorder="1" applyAlignment="1">
      <alignment horizontal="fill"/>
    </xf>
    <xf numFmtId="165" fontId="41" fillId="0" borderId="5" xfId="0" applyFont="1" applyBorder="1" applyAlignment="1">
      <alignment horizontal="fill"/>
    </xf>
    <xf numFmtId="165" fontId="41" fillId="2" borderId="8" xfId="0" applyFont="1" applyFill="1" applyBorder="1" applyAlignment="1">
      <alignment horizontal="fill"/>
    </xf>
    <xf numFmtId="165" fontId="44" fillId="11" borderId="6" xfId="0" applyFont="1" applyFill="1" applyBorder="1" applyAlignment="1">
      <alignment horizontal="left"/>
    </xf>
    <xf numFmtId="165" fontId="24" fillId="11" borderId="6" xfId="0" applyFont="1" applyFill="1" applyBorder="1" applyAlignment="1">
      <alignment horizontal="center"/>
    </xf>
    <xf numFmtId="165" fontId="46" fillId="11" borderId="14" xfId="0" applyFont="1" applyFill="1" applyBorder="1" applyProtection="1">
      <protection locked="0"/>
    </xf>
    <xf numFmtId="165" fontId="41" fillId="0" borderId="7" xfId="0" applyFont="1" applyBorder="1" applyAlignment="1">
      <alignment horizontal="fill"/>
    </xf>
    <xf numFmtId="165" fontId="45" fillId="2" borderId="4" xfId="0" applyFont="1" applyFill="1" applyBorder="1" applyProtection="1">
      <protection locked="0"/>
    </xf>
    <xf numFmtId="165" fontId="41" fillId="4" borderId="5" xfId="0" applyFont="1" applyFill="1" applyBorder="1" applyAlignment="1">
      <alignment horizontal="fill"/>
    </xf>
    <xf numFmtId="165" fontId="41" fillId="4" borderId="8" xfId="0" applyFont="1" applyFill="1" applyBorder="1" applyAlignment="1">
      <alignment horizontal="fill"/>
    </xf>
    <xf numFmtId="165" fontId="41" fillId="0" borderId="5" xfId="0" quotePrefix="1" applyFont="1" applyBorder="1" applyAlignment="1">
      <alignment horizontal="left"/>
    </xf>
    <xf numFmtId="165" fontId="47" fillId="0" borderId="1" xfId="0" applyFont="1" applyBorder="1" applyAlignment="1">
      <alignment horizontal="center"/>
    </xf>
    <xf numFmtId="165" fontId="49" fillId="2" borderId="2" xfId="0" applyFont="1" applyFill="1" applyBorder="1" applyProtection="1">
      <protection locked="0"/>
    </xf>
    <xf numFmtId="165" fontId="41" fillId="0" borderId="6" xfId="0" applyFont="1" applyBorder="1" applyAlignment="1">
      <alignment horizontal="left"/>
    </xf>
    <xf numFmtId="165" fontId="41" fillId="0" borderId="6" xfId="0" applyFont="1" applyBorder="1" applyAlignment="1">
      <alignment horizontal="fill"/>
    </xf>
    <xf numFmtId="165" fontId="41" fillId="2" borderId="14" xfId="0" applyFont="1" applyFill="1" applyBorder="1" applyAlignment="1">
      <alignment horizontal="fill"/>
    </xf>
    <xf numFmtId="166" fontId="41" fillId="0" borderId="0" xfId="0" applyNumberFormat="1" applyFont="1"/>
    <xf numFmtId="166" fontId="41" fillId="0" borderId="0" xfId="0" applyNumberFormat="1" applyFont="1" applyAlignment="1">
      <alignment horizontal="left"/>
    </xf>
    <xf numFmtId="166" fontId="41" fillId="0" borderId="0" xfId="0" applyNumberFormat="1" applyFont="1" applyAlignment="1">
      <alignment horizontal="centerContinuous"/>
    </xf>
    <xf numFmtId="165" fontId="44" fillId="4" borderId="5" xfId="0" quotePrefix="1" applyFont="1" applyFill="1" applyBorder="1" applyAlignment="1">
      <alignment horizontal="fill"/>
    </xf>
    <xf numFmtId="165" fontId="24" fillId="4" borderId="10" xfId="0" applyFont="1" applyFill="1" applyBorder="1" applyAlignment="1">
      <alignment horizontal="fill"/>
    </xf>
    <xf numFmtId="166" fontId="24" fillId="4" borderId="10" xfId="0" applyNumberFormat="1" applyFont="1" applyFill="1" applyBorder="1" applyAlignment="1">
      <alignment horizontal="fill"/>
    </xf>
    <xf numFmtId="165" fontId="44" fillId="4" borderId="1" xfId="0" applyFont="1" applyFill="1" applyBorder="1" applyAlignment="1">
      <alignment horizontal="left"/>
    </xf>
    <xf numFmtId="14" fontId="24" fillId="4" borderId="0" xfId="0" applyNumberFormat="1" applyFont="1" applyFill="1" applyAlignment="1">
      <alignment horizontal="center"/>
    </xf>
    <xf numFmtId="166" fontId="24" fillId="4" borderId="0" xfId="0" applyNumberFormat="1" applyFont="1" applyFill="1" applyAlignment="1">
      <alignment horizontal="center"/>
    </xf>
    <xf numFmtId="165" fontId="44" fillId="4" borderId="3" xfId="0" quotePrefix="1" applyFont="1" applyFill="1" applyBorder="1" applyAlignment="1">
      <alignment horizontal="fill"/>
    </xf>
    <xf numFmtId="165" fontId="44" fillId="4" borderId="7" xfId="0" applyFont="1" applyFill="1" applyBorder="1" applyAlignment="1">
      <alignment horizontal="fill"/>
    </xf>
    <xf numFmtId="166" fontId="44" fillId="4" borderId="7" xfId="0" applyNumberFormat="1" applyFont="1" applyFill="1" applyBorder="1" applyAlignment="1">
      <alignment horizontal="fill"/>
    </xf>
    <xf numFmtId="165" fontId="41" fillId="0" borderId="8" xfId="0" quotePrefix="1" applyFont="1" applyBorder="1"/>
    <xf numFmtId="166" fontId="41" fillId="0" borderId="11" xfId="0" applyNumberFormat="1" applyFont="1" applyBorder="1"/>
    <xf numFmtId="165" fontId="41" fillId="0" borderId="2" xfId="0" quotePrefix="1" applyFont="1" applyBorder="1"/>
    <xf numFmtId="166" fontId="41" fillId="0" borderId="12" xfId="0" applyNumberFormat="1" applyFont="1" applyBorder="1"/>
    <xf numFmtId="165" fontId="41" fillId="0" borderId="1" xfId="0" quotePrefix="1" applyFont="1" applyBorder="1" applyAlignment="1">
      <alignment horizontal="fill"/>
    </xf>
    <xf numFmtId="165" fontId="41" fillId="0" borderId="2" xfId="0" applyFont="1" applyBorder="1"/>
    <xf numFmtId="166" fontId="41" fillId="0" borderId="12" xfId="0" applyNumberFormat="1" applyFont="1" applyBorder="1" applyAlignment="1">
      <alignment horizontal="fill"/>
    </xf>
    <xf numFmtId="165" fontId="24" fillId="3" borderId="1" xfId="0" applyFont="1" applyFill="1" applyBorder="1" applyAlignment="1">
      <alignment horizontal="left"/>
    </xf>
    <xf numFmtId="165" fontId="24" fillId="3" borderId="2" xfId="0" quotePrefix="1" applyFont="1" applyFill="1" applyBorder="1"/>
    <xf numFmtId="166" fontId="24" fillId="3" borderId="12" xfId="0" applyNumberFormat="1" applyFont="1" applyFill="1" applyBorder="1"/>
    <xf numFmtId="165" fontId="41" fillId="0" borderId="4" xfId="0" applyFont="1" applyBorder="1" applyAlignment="1">
      <alignment horizontal="fill"/>
    </xf>
    <xf numFmtId="166" fontId="41" fillId="0" borderId="13" xfId="0" applyNumberFormat="1" applyFont="1" applyBorder="1" applyAlignment="1">
      <alignment horizontal="fill"/>
    </xf>
    <xf numFmtId="165" fontId="41" fillId="0" borderId="2" xfId="0" applyFont="1" applyBorder="1" applyAlignment="1">
      <alignment horizontal="fill"/>
    </xf>
    <xf numFmtId="165" fontId="24" fillId="3" borderId="2" xfId="0" applyFont="1" applyFill="1" applyBorder="1"/>
    <xf numFmtId="165" fontId="24" fillId="3" borderId="3" xfId="0" applyFont="1" applyFill="1" applyBorder="1" applyAlignment="1">
      <alignment horizontal="left"/>
    </xf>
    <xf numFmtId="165" fontId="24" fillId="3" borderId="4" xfId="0" applyFont="1" applyFill="1" applyBorder="1"/>
    <xf numFmtId="166" fontId="24" fillId="3" borderId="13" xfId="0" applyNumberFormat="1" applyFont="1" applyFill="1" applyBorder="1"/>
    <xf numFmtId="165" fontId="41" fillId="0" borderId="0" xfId="0" quotePrefix="1" applyFont="1" applyAlignment="1">
      <alignment horizontal="fill"/>
    </xf>
    <xf numFmtId="165" fontId="41" fillId="0" borderId="0" xfId="0" applyFont="1" applyAlignment="1">
      <alignment horizontal="fill"/>
    </xf>
    <xf numFmtId="166" fontId="41" fillId="0" borderId="0" xfId="0" applyNumberFormat="1" applyFont="1" applyAlignment="1">
      <alignment horizontal="fill"/>
    </xf>
    <xf numFmtId="165" fontId="50" fillId="0" borderId="0" xfId="0" applyFont="1"/>
    <xf numFmtId="165" fontId="51" fillId="0" borderId="0" xfId="0" applyFont="1"/>
    <xf numFmtId="170" fontId="31" fillId="0" borderId="0" xfId="4" applyNumberFormat="1" applyFont="1" applyAlignment="1">
      <alignment horizontal="center" vertical="center"/>
    </xf>
    <xf numFmtId="0" fontId="31" fillId="0" borderId="0" xfId="3" quotePrefix="1" applyFont="1" applyAlignment="1">
      <alignment horizontal="left" wrapText="1"/>
    </xf>
    <xf numFmtId="171" fontId="31" fillId="0" borderId="0" xfId="4" applyNumberFormat="1" applyFont="1" applyAlignment="1">
      <alignment horizontal="center" vertical="center"/>
    </xf>
    <xf numFmtId="0" fontId="31" fillId="0" borderId="0" xfId="3" quotePrefix="1" applyFont="1" applyAlignment="1">
      <alignment horizontal="left"/>
    </xf>
    <xf numFmtId="171" fontId="31" fillId="9" borderId="0" xfId="4" applyNumberFormat="1" applyFont="1" applyFill="1" applyAlignment="1">
      <alignment horizontal="center" vertical="center"/>
    </xf>
    <xf numFmtId="165" fontId="8" fillId="0" borderId="0" xfId="0" applyFont="1" applyAlignment="1">
      <alignment horizontal="center" vertical="center"/>
    </xf>
    <xf numFmtId="171" fontId="34" fillId="9" borderId="0" xfId="4" applyNumberFormat="1" applyFont="1" applyFill="1" applyAlignment="1">
      <alignment horizontal="center" vertical="center"/>
    </xf>
    <xf numFmtId="172" fontId="34" fillId="9" borderId="0" xfId="4" applyNumberFormat="1" applyFont="1" applyFill="1" applyAlignment="1">
      <alignment horizontal="center" vertical="center"/>
    </xf>
    <xf numFmtId="3" fontId="31" fillId="0" borderId="0" xfId="4" applyNumberFormat="1" applyFont="1" applyAlignment="1">
      <alignment horizontal="center" vertical="center"/>
    </xf>
    <xf numFmtId="168" fontId="31" fillId="0" borderId="0" xfId="4" applyNumberFormat="1" applyFont="1" applyAlignment="1">
      <alignment horizontal="center" vertical="center"/>
    </xf>
    <xf numFmtId="165" fontId="8" fillId="7" borderId="0" xfId="0" applyFont="1" applyFill="1"/>
    <xf numFmtId="165" fontId="10" fillId="11" borderId="0" xfId="0" applyFont="1" applyFill="1" applyAlignment="1">
      <alignment horizontal="center"/>
    </xf>
    <xf numFmtId="165" fontId="13" fillId="0" borderId="0" xfId="0" applyFont="1" applyProtection="1">
      <protection locked="0"/>
    </xf>
    <xf numFmtId="165" fontId="21" fillId="0" borderId="0" xfId="0" applyFont="1" applyAlignment="1">
      <alignment horizontal="left" vertical="center" readingOrder="1"/>
    </xf>
    <xf numFmtId="165" fontId="8" fillId="7" borderId="0" xfId="0" applyFont="1" applyFill="1" applyAlignment="1">
      <alignment horizontal="center"/>
    </xf>
    <xf numFmtId="165" fontId="52" fillId="9" borderId="0" xfId="0" applyFont="1" applyFill="1" applyAlignment="1">
      <alignment horizontal="center" vertical="top" wrapText="1" readingOrder="1"/>
    </xf>
    <xf numFmtId="165" fontId="52" fillId="9" borderId="0" xfId="0" applyFont="1" applyFill="1" applyAlignment="1">
      <alignment horizontal="center" vertical="top" readingOrder="1"/>
    </xf>
    <xf numFmtId="166" fontId="24" fillId="4" borderId="11" xfId="0" applyNumberFormat="1" applyFont="1" applyFill="1" applyBorder="1" applyAlignment="1">
      <alignment horizontal="center" vertical="center"/>
    </xf>
    <xf numFmtId="166" fontId="24" fillId="4" borderId="12" xfId="0" applyNumberFormat="1" applyFont="1" applyFill="1" applyBorder="1" applyAlignment="1">
      <alignment horizontal="center" vertical="center"/>
    </xf>
    <xf numFmtId="166" fontId="24" fillId="4" borderId="13" xfId="0" applyNumberFormat="1" applyFont="1" applyFill="1" applyBorder="1" applyAlignment="1">
      <alignment horizontal="center" vertical="center"/>
    </xf>
  </cellXfs>
  <cellStyles count="13">
    <cellStyle name="Lien hypertexte" xfId="12" builtinId="8"/>
    <cellStyle name="Lien hypertexte 2" xfId="9" xr:uid="{00000000-0005-0000-0000-000001000000}"/>
    <cellStyle name="Milliers" xfId="1" builtinId="3"/>
    <cellStyle name="Milliers 2" xfId="7" xr:uid="{00000000-0005-0000-0000-000003000000}"/>
    <cellStyle name="Milliers 3" xfId="11" xr:uid="{00000000-0005-0000-0000-000004000000}"/>
    <cellStyle name="Milliers 4" xfId="4" xr:uid="{00000000-0005-0000-0000-000005000000}"/>
    <cellStyle name="Normal" xfId="0" builtinId="0"/>
    <cellStyle name="Normal 2" xfId="6" xr:uid="{00000000-0005-0000-0000-000007000000}"/>
    <cellStyle name="Normal 3" xfId="10" xr:uid="{00000000-0005-0000-0000-000008000000}"/>
    <cellStyle name="Normal 4" xfId="3" xr:uid="{00000000-0005-0000-0000-000009000000}"/>
    <cellStyle name="Pourcentage" xfId="2" builtinId="5"/>
    <cellStyle name="Pourcentage 2" xfId="8" xr:uid="{00000000-0005-0000-0000-00000B000000}"/>
    <cellStyle name="Pourcentage 3" xfId="5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economie.gouv.fr/cedef/delais-de-paiement-entre-entreprises" TargetMode="External"/><Relationship Id="rId1" Type="http://schemas.openxmlformats.org/officeDocument/2006/relationships/hyperlink" Target="https://www.economie.gouv.fr/dgccrf/Publications/Vie-pratique/fiches-pratiques/Delais-de-paiemen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23"/>
  <sheetViews>
    <sheetView workbookViewId="0">
      <selection activeCell="D12" sqref="D12"/>
    </sheetView>
  </sheetViews>
  <sheetFormatPr baseColWidth="10" defaultRowHeight="12" x14ac:dyDescent="0.2"/>
  <sheetData>
    <row r="1" spans="1:23" ht="12.6" thickBot="1" x14ac:dyDescent="0.25"/>
    <row r="2" spans="1:23" x14ac:dyDescent="0.2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6"/>
    </row>
    <row r="3" spans="1:23" ht="15.6" x14ac:dyDescent="0.25">
      <c r="A3" s="97" t="s">
        <v>391</v>
      </c>
      <c r="B3" s="93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8"/>
    </row>
    <row r="4" spans="1:23" ht="15.6" x14ac:dyDescent="0.25">
      <c r="A4" s="97" t="s">
        <v>383</v>
      </c>
      <c r="B4" s="93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8"/>
    </row>
    <row r="5" spans="1:23" ht="15.6" x14ac:dyDescent="0.25">
      <c r="A5" s="97" t="s">
        <v>384</v>
      </c>
      <c r="B5" s="93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8"/>
    </row>
    <row r="6" spans="1:23" ht="15" x14ac:dyDescent="0.25">
      <c r="A6" s="97" t="s">
        <v>398</v>
      </c>
      <c r="B6" s="93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8"/>
    </row>
    <row r="7" spans="1:23" ht="18.600000000000001" x14ac:dyDescent="0.25">
      <c r="A7" s="99" t="s">
        <v>378</v>
      </c>
      <c r="B7" s="93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8"/>
    </row>
    <row r="8" spans="1:23" ht="15.6" x14ac:dyDescent="0.25">
      <c r="A8" s="97" t="s">
        <v>385</v>
      </c>
      <c r="B8" s="93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8"/>
    </row>
    <row r="9" spans="1:23" ht="15.6" x14ac:dyDescent="0.25">
      <c r="A9" s="97" t="s">
        <v>386</v>
      </c>
      <c r="B9" s="93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8"/>
    </row>
    <row r="10" spans="1:23" ht="15.6" x14ac:dyDescent="0.25">
      <c r="A10" s="97" t="s">
        <v>387</v>
      </c>
      <c r="B10" s="93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8"/>
    </row>
    <row r="11" spans="1:23" ht="15.6" x14ac:dyDescent="0.25">
      <c r="A11" s="97" t="s">
        <v>394</v>
      </c>
      <c r="B11" s="93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8"/>
    </row>
    <row r="12" spans="1:23" ht="15.6" x14ac:dyDescent="0.25">
      <c r="A12" s="97" t="s">
        <v>388</v>
      </c>
      <c r="B12" s="93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8"/>
    </row>
    <row r="13" spans="1:23" ht="15.6" x14ac:dyDescent="0.25">
      <c r="A13" s="97" t="s">
        <v>389</v>
      </c>
      <c r="B13" s="93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8"/>
    </row>
    <row r="14" spans="1:23" ht="15.6" x14ac:dyDescent="0.25">
      <c r="A14" s="97" t="s">
        <v>390</v>
      </c>
      <c r="B14" s="93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8"/>
    </row>
    <row r="15" spans="1:23" ht="15" x14ac:dyDescent="0.25">
      <c r="A15" s="97"/>
      <c r="B15" s="93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8"/>
    </row>
    <row r="16" spans="1:23" ht="18.600000000000001" x14ac:dyDescent="0.25">
      <c r="A16" s="99" t="s">
        <v>379</v>
      </c>
      <c r="B16" s="93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8"/>
    </row>
    <row r="17" spans="1:23" ht="15" x14ac:dyDescent="0.25">
      <c r="A17" s="97" t="s">
        <v>382</v>
      </c>
      <c r="B17" s="93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8"/>
    </row>
    <row r="18" spans="1:23" ht="13.8" x14ac:dyDescent="0.25">
      <c r="A18" s="100"/>
      <c r="B18" s="93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8"/>
    </row>
    <row r="19" spans="1:23" ht="18.600000000000001" x14ac:dyDescent="0.25">
      <c r="A19" s="99" t="s">
        <v>380</v>
      </c>
      <c r="B19" s="93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8"/>
    </row>
    <row r="20" spans="1:23" ht="15.6" x14ac:dyDescent="0.25">
      <c r="A20" s="100" t="s">
        <v>392</v>
      </c>
      <c r="B20" s="93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8"/>
    </row>
    <row r="21" spans="1:23" ht="18.600000000000001" x14ac:dyDescent="0.25">
      <c r="A21" s="99" t="s">
        <v>381</v>
      </c>
      <c r="B21" s="93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8"/>
    </row>
    <row r="22" spans="1:23" ht="15" x14ac:dyDescent="0.25">
      <c r="A22" s="100" t="s">
        <v>393</v>
      </c>
      <c r="B22" s="93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8"/>
    </row>
    <row r="23" spans="1:23" ht="12.6" thickBot="1" x14ac:dyDescent="0.25">
      <c r="A23" s="101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>
    <tabColor indexed="44"/>
  </sheetPr>
  <dimension ref="A1:K55"/>
  <sheetViews>
    <sheetView topLeftCell="A25" zoomScale="75" workbookViewId="0">
      <selection activeCell="C45" sqref="C45"/>
    </sheetView>
  </sheetViews>
  <sheetFormatPr baseColWidth="10" defaultColWidth="11.44140625" defaultRowHeight="17.399999999999999" x14ac:dyDescent="0.3"/>
  <cols>
    <col min="1" max="1" width="43.6640625" style="105" customWidth="1"/>
    <col min="2" max="2" width="14.33203125" style="105" customWidth="1"/>
    <col min="3" max="3" width="19.109375" style="105" customWidth="1"/>
    <col min="4" max="4" width="21.109375" style="105" customWidth="1"/>
    <col min="5" max="6" width="11.44140625" style="2"/>
    <col min="7" max="7" width="16.33203125" style="2" customWidth="1"/>
    <col min="8" max="8" width="12.77734375" style="2" customWidth="1"/>
    <col min="9" max="16384" width="11.44140625" style="2"/>
  </cols>
  <sheetData>
    <row r="1" spans="1:4" x14ac:dyDescent="0.3">
      <c r="A1" s="154"/>
      <c r="B1" s="155"/>
      <c r="D1" s="156"/>
    </row>
    <row r="2" spans="1:4" x14ac:dyDescent="0.3">
      <c r="A2" s="157" t="s">
        <v>3</v>
      </c>
      <c r="B2" s="158"/>
      <c r="C2" s="158"/>
      <c r="D2" s="158"/>
    </row>
    <row r="3" spans="1:4" x14ac:dyDescent="0.3">
      <c r="A3" s="108"/>
      <c r="C3" s="109" t="s">
        <v>345</v>
      </c>
    </row>
    <row r="4" spans="1:4" x14ac:dyDescent="0.3">
      <c r="A4" s="110"/>
      <c r="B4" s="111"/>
      <c r="C4" s="111"/>
      <c r="D4" s="112"/>
    </row>
    <row r="5" spans="1:4" x14ac:dyDescent="0.3">
      <c r="A5" s="113"/>
      <c r="B5" s="114"/>
      <c r="C5" s="115">
        <v>44196</v>
      </c>
      <c r="D5" s="115">
        <v>44561</v>
      </c>
    </row>
    <row r="6" spans="1:4" x14ac:dyDescent="0.3">
      <c r="A6" s="116"/>
      <c r="B6" s="117"/>
      <c r="C6" s="118"/>
      <c r="D6" s="118"/>
    </row>
    <row r="7" spans="1:4" x14ac:dyDescent="0.3">
      <c r="A7" s="119" t="s">
        <v>4</v>
      </c>
      <c r="B7" s="120" t="s">
        <v>259</v>
      </c>
      <c r="C7" s="124">
        <v>0</v>
      </c>
      <c r="D7" s="124">
        <v>0</v>
      </c>
    </row>
    <row r="8" spans="1:4" x14ac:dyDescent="0.3">
      <c r="A8" s="122"/>
      <c r="B8" s="129"/>
      <c r="C8" s="135"/>
      <c r="D8" s="135"/>
    </row>
    <row r="9" spans="1:4" x14ac:dyDescent="0.3">
      <c r="A9" s="159" t="s">
        <v>5</v>
      </c>
      <c r="B9" s="129"/>
      <c r="C9" s="135"/>
      <c r="D9" s="135"/>
    </row>
    <row r="10" spans="1:4" x14ac:dyDescent="0.3">
      <c r="A10" s="122"/>
      <c r="B10" s="129"/>
      <c r="C10" s="135"/>
      <c r="D10" s="135"/>
    </row>
    <row r="11" spans="1:4" x14ac:dyDescent="0.3">
      <c r="A11" s="122" t="s">
        <v>6</v>
      </c>
      <c r="B11" s="123" t="s">
        <v>260</v>
      </c>
      <c r="C11" s="124">
        <v>0</v>
      </c>
      <c r="D11" s="124">
        <v>0</v>
      </c>
    </row>
    <row r="12" spans="1:4" x14ac:dyDescent="0.3">
      <c r="A12" s="122" t="s">
        <v>7</v>
      </c>
      <c r="B12" s="123" t="s">
        <v>261</v>
      </c>
      <c r="C12" s="124">
        <v>0</v>
      </c>
      <c r="D12" s="124">
        <v>0</v>
      </c>
    </row>
    <row r="13" spans="1:4" x14ac:dyDescent="0.3">
      <c r="A13" s="122" t="s">
        <v>8</v>
      </c>
      <c r="B13" s="123" t="s">
        <v>262</v>
      </c>
      <c r="C13" s="124">
        <v>1.08</v>
      </c>
      <c r="D13" s="160">
        <v>4.1900000000000004</v>
      </c>
    </row>
    <row r="14" spans="1:4" x14ac:dyDescent="0.3">
      <c r="A14" s="122" t="s">
        <v>9</v>
      </c>
      <c r="B14" s="123" t="s">
        <v>263</v>
      </c>
      <c r="C14" s="124">
        <v>0</v>
      </c>
      <c r="D14" s="124">
        <v>0</v>
      </c>
    </row>
    <row r="15" spans="1:4" x14ac:dyDescent="0.3">
      <c r="A15" s="122" t="s">
        <v>10</v>
      </c>
      <c r="B15" s="123" t="s">
        <v>264</v>
      </c>
      <c r="C15" s="124">
        <v>69.849999999999994</v>
      </c>
      <c r="D15" s="124">
        <v>58.21</v>
      </c>
    </row>
    <row r="16" spans="1:4" x14ac:dyDescent="0.3">
      <c r="A16" s="122" t="s">
        <v>11</v>
      </c>
      <c r="B16" s="123" t="s">
        <v>265</v>
      </c>
      <c r="C16" s="124">
        <v>0</v>
      </c>
      <c r="D16" s="124">
        <v>0</v>
      </c>
    </row>
    <row r="17" spans="1:4" x14ac:dyDescent="0.3">
      <c r="A17" s="122"/>
      <c r="B17" s="129"/>
      <c r="C17" s="135"/>
      <c r="D17" s="135"/>
    </row>
    <row r="18" spans="1:4" x14ac:dyDescent="0.3">
      <c r="A18" s="122" t="s">
        <v>12</v>
      </c>
      <c r="B18" s="123" t="s">
        <v>266</v>
      </c>
      <c r="C18" s="124">
        <v>2229.87</v>
      </c>
      <c r="D18" s="124">
        <v>2157.0300000000002</v>
      </c>
    </row>
    <row r="19" spans="1:4" x14ac:dyDescent="0.3">
      <c r="A19" s="122" t="s">
        <v>13</v>
      </c>
      <c r="B19" s="123" t="s">
        <v>267</v>
      </c>
      <c r="C19" s="124">
        <v>3983.51</v>
      </c>
      <c r="D19" s="124">
        <v>3449.11</v>
      </c>
    </row>
    <row r="20" spans="1:4" x14ac:dyDescent="0.3">
      <c r="A20" s="122" t="s">
        <v>14</v>
      </c>
      <c r="B20" s="123" t="s">
        <v>268</v>
      </c>
      <c r="C20" s="124">
        <v>150.96</v>
      </c>
      <c r="D20" s="124">
        <v>249.22</v>
      </c>
    </row>
    <row r="21" spans="1:4" x14ac:dyDescent="0.3">
      <c r="A21" s="122" t="s">
        <v>15</v>
      </c>
      <c r="B21" s="123" t="s">
        <v>269</v>
      </c>
      <c r="C21" s="124">
        <v>131.38</v>
      </c>
      <c r="D21" s="124">
        <v>130.6</v>
      </c>
    </row>
    <row r="22" spans="1:4" x14ac:dyDescent="0.3">
      <c r="A22" s="122" t="s">
        <v>16</v>
      </c>
      <c r="B22" s="123" t="s">
        <v>270</v>
      </c>
      <c r="C22" s="124">
        <v>0</v>
      </c>
      <c r="D22" s="124">
        <v>0</v>
      </c>
    </row>
    <row r="23" spans="1:4" x14ac:dyDescent="0.3">
      <c r="A23" s="122" t="s">
        <v>17</v>
      </c>
      <c r="B23" s="123" t="s">
        <v>271</v>
      </c>
      <c r="C23" s="124">
        <v>0</v>
      </c>
      <c r="D23" s="124">
        <v>0</v>
      </c>
    </row>
    <row r="24" spans="1:4" x14ac:dyDescent="0.3">
      <c r="A24" s="122"/>
      <c r="B24" s="129"/>
      <c r="C24" s="135"/>
      <c r="D24" s="135"/>
    </row>
    <row r="25" spans="1:4" x14ac:dyDescent="0.3">
      <c r="A25" s="122" t="s">
        <v>18</v>
      </c>
      <c r="B25" s="123" t="s">
        <v>272</v>
      </c>
      <c r="C25" s="124">
        <v>187.22</v>
      </c>
      <c r="D25" s="124">
        <v>186.15</v>
      </c>
    </row>
    <row r="26" spans="1:4" x14ac:dyDescent="0.3">
      <c r="A26" s="122" t="s">
        <v>19</v>
      </c>
      <c r="B26" s="123" t="s">
        <v>273</v>
      </c>
      <c r="C26" s="124">
        <v>0</v>
      </c>
      <c r="D26" s="124">
        <v>0</v>
      </c>
    </row>
    <row r="27" spans="1:4" x14ac:dyDescent="0.3">
      <c r="A27" s="122" t="s">
        <v>20</v>
      </c>
      <c r="B27" s="123" t="s">
        <v>274</v>
      </c>
      <c r="C27" s="124">
        <v>0</v>
      </c>
      <c r="D27" s="124">
        <v>0.01</v>
      </c>
    </row>
    <row r="28" spans="1:4" x14ac:dyDescent="0.3">
      <c r="A28" s="122" t="s">
        <v>21</v>
      </c>
      <c r="B28" s="123" t="s">
        <v>275</v>
      </c>
      <c r="C28" s="124">
        <v>0</v>
      </c>
      <c r="D28" s="124">
        <v>0</v>
      </c>
    </row>
    <row r="29" spans="1:4" x14ac:dyDescent="0.3">
      <c r="A29" s="122" t="s">
        <v>22</v>
      </c>
      <c r="B29" s="123" t="s">
        <v>276</v>
      </c>
      <c r="C29" s="124">
        <v>106.99</v>
      </c>
      <c r="D29" s="124">
        <v>106.44</v>
      </c>
    </row>
    <row r="30" spans="1:4" x14ac:dyDescent="0.3">
      <c r="A30" s="161" t="s">
        <v>23</v>
      </c>
      <c r="B30" s="126" t="s">
        <v>277</v>
      </c>
      <c r="C30" s="127">
        <v>6860.85</v>
      </c>
      <c r="D30" s="127">
        <v>6340.97</v>
      </c>
    </row>
    <row r="31" spans="1:4" x14ac:dyDescent="0.3">
      <c r="A31" s="133"/>
      <c r="B31" s="134"/>
      <c r="C31" s="130"/>
      <c r="D31" s="130"/>
    </row>
    <row r="32" spans="1:4" x14ac:dyDescent="0.3">
      <c r="A32" s="159" t="s">
        <v>24</v>
      </c>
      <c r="B32" s="129"/>
      <c r="C32" s="135"/>
      <c r="D32" s="135"/>
    </row>
    <row r="33" spans="1:11" x14ac:dyDescent="0.3">
      <c r="A33" s="122" t="s">
        <v>25</v>
      </c>
      <c r="B33" s="123" t="s">
        <v>278</v>
      </c>
      <c r="C33" s="124">
        <v>0</v>
      </c>
      <c r="D33" s="124">
        <v>4.74</v>
      </c>
    </row>
    <row r="34" spans="1:11" x14ac:dyDescent="0.3">
      <c r="A34" s="122" t="s">
        <v>26</v>
      </c>
      <c r="B34" s="123" t="s">
        <v>279</v>
      </c>
      <c r="C34" s="124">
        <v>0</v>
      </c>
      <c r="D34" s="124">
        <v>0</v>
      </c>
      <c r="I34" s="2">
        <v>2021</v>
      </c>
    </row>
    <row r="35" spans="1:11" x14ac:dyDescent="0.3">
      <c r="A35" s="122" t="s">
        <v>27</v>
      </c>
      <c r="B35" s="123" t="s">
        <v>280</v>
      </c>
      <c r="C35" s="124">
        <v>0</v>
      </c>
      <c r="D35" s="124">
        <v>0</v>
      </c>
    </row>
    <row r="36" spans="1:11" x14ac:dyDescent="0.3">
      <c r="A36" s="122" t="s">
        <v>28</v>
      </c>
      <c r="B36" s="123" t="s">
        <v>281</v>
      </c>
      <c r="C36" s="124">
        <v>0</v>
      </c>
      <c r="D36" s="124">
        <v>0</v>
      </c>
      <c r="I36" s="2" t="s">
        <v>312</v>
      </c>
      <c r="J36" s="2" t="s">
        <v>313</v>
      </c>
      <c r="K36" s="2" t="s">
        <v>314</v>
      </c>
    </row>
    <row r="37" spans="1:11" x14ac:dyDescent="0.3">
      <c r="A37" s="122" t="s">
        <v>29</v>
      </c>
      <c r="B37" s="123" t="s">
        <v>282</v>
      </c>
      <c r="C37" s="124">
        <v>1876.41</v>
      </c>
      <c r="D37" s="124">
        <v>1758.19</v>
      </c>
      <c r="G37" s="6" t="s">
        <v>29</v>
      </c>
      <c r="I37" s="2">
        <v>1913</v>
      </c>
      <c r="J37" s="2">
        <v>155</v>
      </c>
      <c r="K37" s="2">
        <f>I37-J37</f>
        <v>1758</v>
      </c>
    </row>
    <row r="38" spans="1:11" x14ac:dyDescent="0.3">
      <c r="A38" s="122"/>
      <c r="B38" s="123"/>
      <c r="C38" s="135"/>
      <c r="D38" s="135"/>
    </row>
    <row r="39" spans="1:11" x14ac:dyDescent="0.3">
      <c r="A39" s="122" t="s">
        <v>31</v>
      </c>
      <c r="B39" s="123" t="s">
        <v>283</v>
      </c>
      <c r="C39" s="124">
        <v>5</v>
      </c>
      <c r="D39" s="124">
        <v>0</v>
      </c>
    </row>
    <row r="40" spans="1:11" x14ac:dyDescent="0.3">
      <c r="A40" s="122"/>
      <c r="B40" s="123"/>
      <c r="C40" s="135"/>
      <c r="D40" s="135"/>
    </row>
    <row r="41" spans="1:11" x14ac:dyDescent="0.3">
      <c r="A41" s="122" t="s">
        <v>32</v>
      </c>
      <c r="B41" s="123" t="s">
        <v>284</v>
      </c>
      <c r="C41" s="124">
        <v>102.06</v>
      </c>
      <c r="D41" s="124">
        <v>108.93</v>
      </c>
      <c r="I41" s="2">
        <v>2020</v>
      </c>
    </row>
    <row r="42" spans="1:11" x14ac:dyDescent="0.3">
      <c r="A42" s="122" t="s">
        <v>33</v>
      </c>
      <c r="B42" s="123" t="s">
        <v>285</v>
      </c>
      <c r="C42" s="124">
        <v>853.56</v>
      </c>
      <c r="D42" s="124">
        <v>438.07</v>
      </c>
      <c r="I42" s="2" t="s">
        <v>312</v>
      </c>
      <c r="J42" s="2" t="s">
        <v>313</v>
      </c>
      <c r="K42" s="2" t="s">
        <v>314</v>
      </c>
    </row>
    <row r="43" spans="1:11" x14ac:dyDescent="0.3">
      <c r="A43" s="122" t="s">
        <v>34</v>
      </c>
      <c r="B43" s="123" t="s">
        <v>286</v>
      </c>
      <c r="C43" s="124">
        <v>0</v>
      </c>
      <c r="D43" s="124">
        <v>0</v>
      </c>
      <c r="G43" s="6" t="s">
        <v>29</v>
      </c>
      <c r="I43" s="2">
        <v>2048</v>
      </c>
      <c r="J43" s="2">
        <v>172</v>
      </c>
      <c r="K43" s="2">
        <f>I43-J43</f>
        <v>1876</v>
      </c>
    </row>
    <row r="44" spans="1:11" x14ac:dyDescent="0.3">
      <c r="A44" s="122"/>
      <c r="B44" s="129"/>
      <c r="C44" s="135"/>
      <c r="D44" s="135"/>
    </row>
    <row r="45" spans="1:11" x14ac:dyDescent="0.3">
      <c r="A45" s="122" t="s">
        <v>35</v>
      </c>
      <c r="B45" s="123" t="s">
        <v>287</v>
      </c>
      <c r="C45" s="124">
        <v>1280.1500000000001</v>
      </c>
      <c r="D45" s="124">
        <v>315.29000000000002</v>
      </c>
    </row>
    <row r="46" spans="1:11" x14ac:dyDescent="0.3">
      <c r="A46" s="122" t="s">
        <v>36</v>
      </c>
      <c r="B46" s="123" t="s">
        <v>288</v>
      </c>
      <c r="C46" s="124">
        <v>4937.04</v>
      </c>
      <c r="D46" s="124">
        <v>6105.2</v>
      </c>
    </row>
    <row r="47" spans="1:11" x14ac:dyDescent="0.3">
      <c r="A47" s="122" t="s">
        <v>37</v>
      </c>
      <c r="B47" s="123" t="s">
        <v>289</v>
      </c>
      <c r="C47" s="124">
        <v>69.849999999999994</v>
      </c>
      <c r="D47" s="124">
        <v>127.72</v>
      </c>
    </row>
    <row r="48" spans="1:11" x14ac:dyDescent="0.3">
      <c r="A48" s="161" t="s">
        <v>38</v>
      </c>
      <c r="B48" s="126" t="s">
        <v>290</v>
      </c>
      <c r="C48" s="127">
        <v>9124.07</v>
      </c>
      <c r="D48" s="127">
        <v>8858.15</v>
      </c>
    </row>
    <row r="49" spans="1:4" x14ac:dyDescent="0.3">
      <c r="A49" s="133"/>
      <c r="B49" s="134"/>
      <c r="C49" s="130"/>
      <c r="D49" s="130"/>
    </row>
    <row r="50" spans="1:4" x14ac:dyDescent="0.3">
      <c r="A50" s="122" t="s">
        <v>39</v>
      </c>
      <c r="B50" s="123" t="s">
        <v>291</v>
      </c>
      <c r="C50" s="124">
        <v>0</v>
      </c>
      <c r="D50" s="124">
        <v>0</v>
      </c>
    </row>
    <row r="51" spans="1:4" x14ac:dyDescent="0.3">
      <c r="A51" s="122" t="s">
        <v>40</v>
      </c>
      <c r="B51" s="123" t="s">
        <v>292</v>
      </c>
      <c r="C51" s="124">
        <v>0</v>
      </c>
      <c r="D51" s="124">
        <v>0</v>
      </c>
    </row>
    <row r="52" spans="1:4" x14ac:dyDescent="0.3">
      <c r="A52" s="122" t="s">
        <v>41</v>
      </c>
      <c r="B52" s="123" t="s">
        <v>293</v>
      </c>
      <c r="C52" s="124">
        <v>182.61</v>
      </c>
      <c r="D52" s="124">
        <v>167.34</v>
      </c>
    </row>
    <row r="53" spans="1:4" x14ac:dyDescent="0.3">
      <c r="A53" s="162"/>
      <c r="B53" s="163"/>
      <c r="C53" s="164"/>
      <c r="D53" s="164"/>
    </row>
    <row r="54" spans="1:4" ht="18" thickBot="1" x14ac:dyDescent="0.35">
      <c r="A54" s="165" t="s">
        <v>42</v>
      </c>
      <c r="B54" s="166" t="s">
        <v>294</v>
      </c>
      <c r="C54" s="167">
        <v>16167.53</v>
      </c>
      <c r="D54" s="167">
        <v>15366.46</v>
      </c>
    </row>
    <row r="55" spans="1:4" ht="18" thickTop="1" x14ac:dyDescent="0.3">
      <c r="A55" s="140" t="s">
        <v>43</v>
      </c>
      <c r="B55" s="168" t="s">
        <v>258</v>
      </c>
      <c r="C55" s="169"/>
      <c r="D55" s="169"/>
    </row>
  </sheetData>
  <phoneticPr fontId="0" type="noConversion"/>
  <printOptions horizontalCentered="1"/>
  <pageMargins left="0.78740157480314965" right="0.78740157480314965" top="0.39370078740157483" bottom="0.35433070866141736" header="0.39370078740157483" footer="0.39370078740157483"/>
  <pageSetup paperSize="9" orientation="portrait" horizontalDpi="4294967292" verticalDpi="300" r:id="rId1"/>
  <headerFooter alignWithMargins="0">
    <oddHeader>&amp;CVWFI</oddHeader>
    <oddFooter>&amp;C&amp;"Arial,Normal"ANAFIN (2004) - VWFI  - Credit Management&amp;R&amp;"Arial,Normal"&amp;8- 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</sheetPr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tabColor indexed="44"/>
  </sheetPr>
  <dimension ref="A1:P61"/>
  <sheetViews>
    <sheetView topLeftCell="A7" zoomScale="75" workbookViewId="0">
      <selection activeCell="P32" sqref="P32"/>
    </sheetView>
  </sheetViews>
  <sheetFormatPr baseColWidth="10" defaultColWidth="11.44140625" defaultRowHeight="13.2" x14ac:dyDescent="0.25"/>
  <cols>
    <col min="1" max="1" width="55.33203125" style="2" customWidth="1"/>
    <col min="2" max="2" width="9.6640625" style="2" customWidth="1"/>
    <col min="3" max="3" width="20.88671875" style="2" customWidth="1"/>
    <col min="4" max="4" width="18.21875" style="2" customWidth="1"/>
    <col min="5" max="5" width="11.44140625" style="2"/>
    <col min="6" max="6" width="13.77734375" style="2" customWidth="1"/>
    <col min="7" max="11" width="11.44140625" style="2"/>
    <col min="12" max="12" width="19.77734375" style="2" customWidth="1"/>
    <col min="13" max="16384" width="11.44140625" style="2"/>
  </cols>
  <sheetData>
    <row r="1" spans="1:16" ht="17.399999999999999" x14ac:dyDescent="0.3">
      <c r="A1" s="154"/>
      <c r="B1" s="155"/>
      <c r="C1" s="105"/>
      <c r="D1" s="108"/>
    </row>
    <row r="2" spans="1:16" ht="17.399999999999999" x14ac:dyDescent="0.3">
      <c r="A2" s="104"/>
      <c r="B2" s="105"/>
      <c r="C2" s="105"/>
      <c r="D2" s="105"/>
    </row>
    <row r="3" spans="1:16" ht="17.399999999999999" x14ac:dyDescent="0.3">
      <c r="A3" s="106" t="s">
        <v>44</v>
      </c>
      <c r="B3" s="107"/>
      <c r="C3" s="107"/>
      <c r="D3" s="107"/>
    </row>
    <row r="4" spans="1:16" ht="17.399999999999999" x14ac:dyDescent="0.3">
      <c r="A4" s="108"/>
      <c r="B4" s="109" t="s">
        <v>345</v>
      </c>
      <c r="C4" s="105"/>
      <c r="D4" s="105"/>
    </row>
    <row r="5" spans="1:16" ht="17.399999999999999" x14ac:dyDescent="0.3">
      <c r="A5" s="170"/>
      <c r="B5" s="111"/>
      <c r="C5" s="171"/>
      <c r="D5" s="171"/>
    </row>
    <row r="6" spans="1:16" ht="17.399999999999999" x14ac:dyDescent="0.3">
      <c r="A6" s="113"/>
      <c r="B6" s="114"/>
      <c r="C6" s="115">
        <v>44196</v>
      </c>
      <c r="D6" s="115">
        <v>44561</v>
      </c>
    </row>
    <row r="7" spans="1:16" ht="17.399999999999999" x14ac:dyDescent="0.3">
      <c r="A7" s="116"/>
      <c r="B7" s="117"/>
      <c r="C7" s="118"/>
      <c r="D7" s="118"/>
    </row>
    <row r="8" spans="1:16" ht="17.399999999999999" x14ac:dyDescent="0.3">
      <c r="A8" s="172" t="s">
        <v>45</v>
      </c>
      <c r="B8" s="120" t="s">
        <v>46</v>
      </c>
      <c r="C8" s="121">
        <v>1250</v>
      </c>
      <c r="D8" s="121">
        <v>1250</v>
      </c>
    </row>
    <row r="9" spans="1:16" ht="17.399999999999999" x14ac:dyDescent="0.3">
      <c r="A9" s="136" t="s">
        <v>47</v>
      </c>
      <c r="B9" s="123" t="s">
        <v>48</v>
      </c>
      <c r="C9" s="124">
        <v>0</v>
      </c>
      <c r="D9" s="124">
        <v>0</v>
      </c>
    </row>
    <row r="10" spans="1:16" ht="17.399999999999999" x14ac:dyDescent="0.3">
      <c r="A10" s="122" t="s">
        <v>49</v>
      </c>
      <c r="B10" s="123" t="s">
        <v>50</v>
      </c>
      <c r="C10" s="124">
        <v>0</v>
      </c>
      <c r="D10" s="124">
        <v>0</v>
      </c>
    </row>
    <row r="11" spans="1:16" ht="17.399999999999999" x14ac:dyDescent="0.3">
      <c r="A11" s="122" t="s">
        <v>51</v>
      </c>
      <c r="B11" s="123" t="s">
        <v>52</v>
      </c>
      <c r="C11" s="124">
        <v>125</v>
      </c>
      <c r="D11" s="124">
        <v>125</v>
      </c>
    </row>
    <row r="12" spans="1:16" ht="17.399999999999999" x14ac:dyDescent="0.3">
      <c r="A12" s="122" t="s">
        <v>53</v>
      </c>
      <c r="B12" s="123" t="s">
        <v>54</v>
      </c>
      <c r="C12" s="124">
        <v>0</v>
      </c>
      <c r="D12" s="124">
        <v>0</v>
      </c>
    </row>
    <row r="13" spans="1:16" ht="17.399999999999999" x14ac:dyDescent="0.3">
      <c r="A13" s="122" t="s">
        <v>55</v>
      </c>
      <c r="B13" s="123" t="s">
        <v>56</v>
      </c>
      <c r="C13" s="124">
        <v>0</v>
      </c>
      <c r="D13" s="124">
        <v>0</v>
      </c>
      <c r="L13" s="3"/>
      <c r="M13" s="49"/>
      <c r="N13" s="224"/>
      <c r="O13" s="224"/>
      <c r="P13" s="224"/>
    </row>
    <row r="14" spans="1:16" ht="17.399999999999999" x14ac:dyDescent="0.3">
      <c r="A14" s="122" t="s">
        <v>57</v>
      </c>
      <c r="B14" s="123" t="s">
        <v>58</v>
      </c>
      <c r="C14" s="124">
        <v>3547.13</v>
      </c>
      <c r="D14" s="124">
        <v>2271.1799999999998</v>
      </c>
      <c r="L14" s="3"/>
      <c r="M14" s="49"/>
      <c r="N14" s="224"/>
      <c r="O14" s="224"/>
      <c r="P14" s="224"/>
    </row>
    <row r="15" spans="1:16" ht="17.399999999999999" x14ac:dyDescent="0.3">
      <c r="A15" s="122" t="s">
        <v>59</v>
      </c>
      <c r="B15" s="123" t="s">
        <v>60</v>
      </c>
      <c r="C15" s="124">
        <v>0</v>
      </c>
      <c r="D15" s="124">
        <v>0</v>
      </c>
    </row>
    <row r="16" spans="1:16" ht="18" x14ac:dyDescent="0.35">
      <c r="A16" s="159" t="s">
        <v>61</v>
      </c>
      <c r="B16" s="173" t="s">
        <v>62</v>
      </c>
      <c r="C16" s="174">
        <v>1724.04</v>
      </c>
      <c r="D16" s="174">
        <v>2363.87</v>
      </c>
    </row>
    <row r="17" spans="1:4" ht="17.399999999999999" x14ac:dyDescent="0.3">
      <c r="A17" s="122" t="s">
        <v>63</v>
      </c>
      <c r="B17" s="123" t="s">
        <v>64</v>
      </c>
      <c r="C17" s="124">
        <v>0</v>
      </c>
      <c r="D17" s="124">
        <v>0</v>
      </c>
    </row>
    <row r="18" spans="1:4" ht="17.399999999999999" x14ac:dyDescent="0.3">
      <c r="A18" s="122" t="s">
        <v>65</v>
      </c>
      <c r="B18" s="123" t="s">
        <v>66</v>
      </c>
      <c r="C18" s="124">
        <v>1.02</v>
      </c>
      <c r="D18" s="124">
        <v>1.68</v>
      </c>
    </row>
    <row r="19" spans="1:4" ht="17.399999999999999" x14ac:dyDescent="0.3">
      <c r="A19" s="122"/>
      <c r="B19" s="123" t="s">
        <v>30</v>
      </c>
      <c r="C19" s="145"/>
      <c r="D19" s="145"/>
    </row>
    <row r="20" spans="1:4" ht="17.399999999999999" x14ac:dyDescent="0.3">
      <c r="A20" s="125" t="s">
        <v>395</v>
      </c>
      <c r="B20" s="128" t="s">
        <v>67</v>
      </c>
      <c r="C20" s="127">
        <v>6647.2</v>
      </c>
      <c r="D20" s="127">
        <v>6011.73</v>
      </c>
    </row>
    <row r="21" spans="1:4" ht="17.399999999999999" x14ac:dyDescent="0.3">
      <c r="A21" s="133"/>
      <c r="B21" s="134"/>
      <c r="C21" s="130"/>
      <c r="D21" s="130"/>
    </row>
    <row r="22" spans="1:4" ht="17.399999999999999" x14ac:dyDescent="0.3">
      <c r="A22" s="122" t="s">
        <v>68</v>
      </c>
      <c r="B22" s="123" t="s">
        <v>69</v>
      </c>
      <c r="C22" s="124">
        <v>0</v>
      </c>
      <c r="D22" s="124">
        <v>0</v>
      </c>
    </row>
    <row r="23" spans="1:4" ht="17.399999999999999" x14ac:dyDescent="0.3">
      <c r="A23" s="122" t="s">
        <v>70</v>
      </c>
      <c r="B23" s="123" t="s">
        <v>71</v>
      </c>
      <c r="C23" s="124">
        <v>0</v>
      </c>
      <c r="D23" s="124">
        <v>0</v>
      </c>
    </row>
    <row r="24" spans="1:4" ht="17.399999999999999" x14ac:dyDescent="0.3">
      <c r="A24" s="122"/>
      <c r="B24" s="123" t="s">
        <v>30</v>
      </c>
      <c r="C24" s="130"/>
      <c r="D24" s="130"/>
    </row>
    <row r="25" spans="1:4" ht="17.399999999999999" x14ac:dyDescent="0.3">
      <c r="A25" s="125" t="s">
        <v>72</v>
      </c>
      <c r="B25" s="128" t="s">
        <v>73</v>
      </c>
      <c r="C25" s="127">
        <v>0</v>
      </c>
      <c r="D25" s="127">
        <v>0</v>
      </c>
    </row>
    <row r="26" spans="1:4" ht="17.399999999999999" x14ac:dyDescent="0.3">
      <c r="A26" s="133"/>
      <c r="B26" s="134"/>
      <c r="C26" s="130"/>
      <c r="D26" s="130"/>
    </row>
    <row r="27" spans="1:4" ht="17.399999999999999" x14ac:dyDescent="0.3">
      <c r="A27" s="122" t="s">
        <v>74</v>
      </c>
      <c r="B27" s="123" t="s">
        <v>75</v>
      </c>
      <c r="C27" s="124">
        <v>280.61</v>
      </c>
      <c r="D27" s="124">
        <v>167.34</v>
      </c>
    </row>
    <row r="28" spans="1:4" ht="17.399999999999999" x14ac:dyDescent="0.3">
      <c r="A28" s="122" t="s">
        <v>76</v>
      </c>
      <c r="B28" s="123" t="s">
        <v>77</v>
      </c>
      <c r="C28" s="124">
        <v>0</v>
      </c>
      <c r="D28" s="124">
        <v>0</v>
      </c>
    </row>
    <row r="29" spans="1:4" ht="17.399999999999999" x14ac:dyDescent="0.3">
      <c r="A29" s="122" t="s">
        <v>30</v>
      </c>
      <c r="B29" s="123" t="s">
        <v>30</v>
      </c>
      <c r="C29" s="145"/>
      <c r="D29" s="145"/>
    </row>
    <row r="30" spans="1:4" ht="17.399999999999999" x14ac:dyDescent="0.3">
      <c r="A30" s="125" t="s">
        <v>78</v>
      </c>
      <c r="B30" s="128" t="s">
        <v>79</v>
      </c>
      <c r="C30" s="127">
        <v>280.61</v>
      </c>
      <c r="D30" s="127">
        <v>167.34</v>
      </c>
    </row>
    <row r="31" spans="1:4" ht="17.399999999999999" x14ac:dyDescent="0.3">
      <c r="A31" s="133"/>
      <c r="B31" s="134"/>
      <c r="C31" s="130"/>
      <c r="D31" s="130"/>
    </row>
    <row r="32" spans="1:4" ht="17.399999999999999" x14ac:dyDescent="0.3">
      <c r="A32" s="122" t="s">
        <v>80</v>
      </c>
      <c r="B32" s="123" t="s">
        <v>81</v>
      </c>
      <c r="C32" s="124">
        <v>0</v>
      </c>
      <c r="D32" s="124">
        <v>0</v>
      </c>
    </row>
    <row r="33" spans="1:4" ht="17.399999999999999" x14ac:dyDescent="0.3">
      <c r="A33" s="122" t="s">
        <v>82</v>
      </c>
      <c r="B33" s="123" t="s">
        <v>83</v>
      </c>
      <c r="C33" s="124">
        <v>0</v>
      </c>
      <c r="D33" s="124">
        <v>0</v>
      </c>
    </row>
    <row r="34" spans="1:4" s="89" customFormat="1" ht="17.399999999999999" x14ac:dyDescent="0.3">
      <c r="A34" s="122" t="s">
        <v>298</v>
      </c>
      <c r="B34" s="123" t="s">
        <v>84</v>
      </c>
      <c r="C34" s="124">
        <v>3891</v>
      </c>
      <c r="D34" s="124">
        <v>3292</v>
      </c>
    </row>
    <row r="35" spans="1:4" ht="17.399999999999999" x14ac:dyDescent="0.3">
      <c r="A35" s="122" t="s">
        <v>299</v>
      </c>
      <c r="B35" s="123"/>
      <c r="C35" s="124">
        <v>82</v>
      </c>
      <c r="D35" s="124">
        <v>111</v>
      </c>
    </row>
    <row r="36" spans="1:4" ht="17.399999999999999" x14ac:dyDescent="0.3">
      <c r="A36" s="122" t="s">
        <v>400</v>
      </c>
      <c r="B36" s="123" t="s">
        <v>85</v>
      </c>
      <c r="C36" s="124">
        <v>971.43</v>
      </c>
      <c r="D36" s="124">
        <v>958</v>
      </c>
    </row>
    <row r="37" spans="1:4" ht="17.399999999999999" x14ac:dyDescent="0.3">
      <c r="A37" s="122" t="s">
        <v>86</v>
      </c>
      <c r="B37" s="123" t="s">
        <v>87</v>
      </c>
      <c r="C37" s="124">
        <v>0</v>
      </c>
      <c r="D37" s="124">
        <v>0</v>
      </c>
    </row>
    <row r="38" spans="1:4" ht="17.399999999999999" x14ac:dyDescent="0.3">
      <c r="A38" s="122" t="s">
        <v>88</v>
      </c>
      <c r="B38" s="123" t="s">
        <v>89</v>
      </c>
      <c r="C38" s="124">
        <v>2865.69</v>
      </c>
      <c r="D38" s="124">
        <v>3111.4</v>
      </c>
    </row>
    <row r="39" spans="1:4" ht="17.399999999999999" x14ac:dyDescent="0.3">
      <c r="A39" s="122" t="s">
        <v>90</v>
      </c>
      <c r="B39" s="123" t="s">
        <v>91</v>
      </c>
      <c r="C39" s="124">
        <v>1342.69</v>
      </c>
      <c r="D39" s="124">
        <v>1706.98</v>
      </c>
    </row>
    <row r="40" spans="1:4" ht="17.399999999999999" x14ac:dyDescent="0.3">
      <c r="A40" s="122" t="s">
        <v>92</v>
      </c>
      <c r="B40" s="123" t="s">
        <v>93</v>
      </c>
      <c r="C40" s="124">
        <v>78.569999999999993</v>
      </c>
      <c r="D40" s="124">
        <v>0</v>
      </c>
    </row>
    <row r="41" spans="1:4" ht="17.399999999999999" x14ac:dyDescent="0.3">
      <c r="A41" s="122" t="s">
        <v>94</v>
      </c>
      <c r="B41" s="123" t="s">
        <v>95</v>
      </c>
      <c r="C41" s="124">
        <v>8.07</v>
      </c>
      <c r="D41" s="124">
        <v>7.96</v>
      </c>
    </row>
    <row r="42" spans="1:4" ht="17.399999999999999" x14ac:dyDescent="0.3">
      <c r="A42" s="122" t="s">
        <v>96</v>
      </c>
      <c r="B42" s="123" t="s">
        <v>97</v>
      </c>
      <c r="C42" s="124">
        <v>0</v>
      </c>
      <c r="D42" s="124">
        <v>0</v>
      </c>
    </row>
    <row r="43" spans="1:4" ht="17.399999999999999" x14ac:dyDescent="0.3">
      <c r="A43" s="122" t="s">
        <v>30</v>
      </c>
      <c r="B43" s="123" t="s">
        <v>30</v>
      </c>
      <c r="C43" s="145"/>
      <c r="D43" s="145"/>
    </row>
    <row r="44" spans="1:4" ht="17.399999999999999" x14ac:dyDescent="0.3">
      <c r="A44" s="125" t="s">
        <v>98</v>
      </c>
      <c r="B44" s="128" t="s">
        <v>99</v>
      </c>
      <c r="C44" s="127">
        <v>9239.7199999999993</v>
      </c>
      <c r="D44" s="127">
        <v>9187.39</v>
      </c>
    </row>
    <row r="45" spans="1:4" ht="17.399999999999999" x14ac:dyDescent="0.3">
      <c r="A45" s="133"/>
      <c r="B45" s="134"/>
      <c r="C45" s="130"/>
      <c r="D45" s="130"/>
    </row>
    <row r="46" spans="1:4" ht="17.399999999999999" x14ac:dyDescent="0.3">
      <c r="A46" s="122" t="s">
        <v>100</v>
      </c>
      <c r="B46" s="123" t="s">
        <v>101</v>
      </c>
      <c r="C46" s="124">
        <v>0</v>
      </c>
      <c r="D46" s="124">
        <v>0</v>
      </c>
    </row>
    <row r="47" spans="1:4" ht="17.399999999999999" x14ac:dyDescent="0.3">
      <c r="A47" s="133"/>
      <c r="B47" s="134"/>
      <c r="C47" s="130"/>
      <c r="D47" s="130"/>
    </row>
    <row r="48" spans="1:4" ht="17.399999999999999" x14ac:dyDescent="0.3">
      <c r="A48" s="161" t="s">
        <v>102</v>
      </c>
      <c r="B48" s="128" t="s">
        <v>103</v>
      </c>
      <c r="C48" s="127">
        <v>16167.53</v>
      </c>
      <c r="D48" s="127">
        <v>15366.46</v>
      </c>
    </row>
    <row r="49" spans="1:4" ht="18" thickBot="1" x14ac:dyDescent="0.35">
      <c r="A49" s="175"/>
      <c r="B49" s="176"/>
      <c r="C49" s="177"/>
      <c r="D49" s="177"/>
    </row>
    <row r="50" spans="1:4" ht="18" thickTop="1" x14ac:dyDescent="0.3">
      <c r="A50" s="122"/>
      <c r="B50" s="129"/>
      <c r="C50" s="135"/>
      <c r="D50" s="135"/>
    </row>
    <row r="51" spans="1:4" ht="17.399999999999999" x14ac:dyDescent="0.3">
      <c r="A51" s="136" t="s">
        <v>104</v>
      </c>
      <c r="B51" s="141"/>
      <c r="C51" s="145"/>
      <c r="D51" s="145"/>
    </row>
    <row r="52" spans="1:4" ht="17.399999999999999" x14ac:dyDescent="0.3">
      <c r="A52" s="122" t="s">
        <v>105</v>
      </c>
      <c r="B52" s="123" t="s">
        <v>106</v>
      </c>
      <c r="C52" s="124">
        <v>0</v>
      </c>
      <c r="D52" s="124">
        <v>0</v>
      </c>
    </row>
    <row r="53" spans="1:4" ht="17.399999999999999" x14ac:dyDescent="0.3">
      <c r="A53" s="122" t="s">
        <v>257</v>
      </c>
      <c r="B53" s="123" t="s">
        <v>107</v>
      </c>
      <c r="C53" s="124">
        <v>0</v>
      </c>
      <c r="D53" s="124">
        <v>0</v>
      </c>
    </row>
    <row r="54" spans="1:4" ht="17.399999999999999" x14ac:dyDescent="0.3">
      <c r="A54" s="140"/>
      <c r="B54" s="134"/>
      <c r="C54" s="130"/>
      <c r="D54" s="130"/>
    </row>
    <row r="61" spans="1:4" x14ac:dyDescent="0.25">
      <c r="A61" s="45"/>
    </row>
  </sheetData>
  <phoneticPr fontId="0" type="noConversion"/>
  <printOptions horizontalCentered="1"/>
  <pageMargins left="0.78740157480314965" right="0.78740157480314965" top="0.55000000000000004" bottom="0.78" header="0.51181102362204722" footer="0.51181102362204722"/>
  <pageSetup paperSize="9" orientation="portrait" horizontalDpi="4294967292" verticalDpi="300" r:id="rId1"/>
  <headerFooter alignWithMargins="0">
    <oddHeader>&amp;CVWFI</oddHeader>
    <oddFooter>&amp;C&amp;"Arial,Normal"ANAFIN (2004) - VWFI  - Credit Management&amp;R&amp;"Arial,Normal"&amp;8- 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tabColor indexed="44"/>
  </sheetPr>
  <dimension ref="A1:D84"/>
  <sheetViews>
    <sheetView tabSelected="1" topLeftCell="A10" zoomScale="75" workbookViewId="0">
      <selection activeCell="G30" sqref="G30"/>
    </sheetView>
  </sheetViews>
  <sheetFormatPr baseColWidth="10" defaultColWidth="11.44140625" defaultRowHeight="13.2" x14ac:dyDescent="0.25"/>
  <cols>
    <col min="1" max="1" width="42.88671875" style="2" customWidth="1"/>
    <col min="2" max="2" width="11.77734375" style="2" customWidth="1"/>
    <col min="3" max="3" width="16.33203125" style="2" customWidth="1"/>
    <col min="4" max="4" width="19.109375" style="2" customWidth="1"/>
    <col min="5" max="16384" width="11.44140625" style="2"/>
  </cols>
  <sheetData>
    <row r="1" spans="1:4" ht="15.6" x14ac:dyDescent="0.3">
      <c r="A1" s="1"/>
      <c r="B1" s="50"/>
      <c r="C1" s="3"/>
      <c r="D1" s="3"/>
    </row>
    <row r="2" spans="1:4" ht="17.399999999999999" x14ac:dyDescent="0.3">
      <c r="A2" s="104"/>
      <c r="B2" s="105"/>
      <c r="C2" s="105"/>
      <c r="D2" s="105"/>
    </row>
    <row r="3" spans="1:4" ht="17.399999999999999" x14ac:dyDescent="0.3">
      <c r="A3" s="106" t="s">
        <v>108</v>
      </c>
      <c r="B3" s="107"/>
      <c r="C3" s="107"/>
      <c r="D3" s="107"/>
    </row>
    <row r="4" spans="1:4" ht="17.399999999999999" x14ac:dyDescent="0.3">
      <c r="A4" s="108"/>
      <c r="B4" s="105"/>
      <c r="C4" s="109" t="s">
        <v>345</v>
      </c>
      <c r="D4" s="105"/>
    </row>
    <row r="5" spans="1:4" ht="17.399999999999999" x14ac:dyDescent="0.3">
      <c r="A5" s="110"/>
      <c r="B5" s="111"/>
      <c r="C5" s="112"/>
      <c r="D5" s="112"/>
    </row>
    <row r="6" spans="1:4" ht="17.399999999999999" x14ac:dyDescent="0.3">
      <c r="A6" s="113"/>
      <c r="B6" s="114"/>
      <c r="C6" s="115">
        <v>44196</v>
      </c>
      <c r="D6" s="115">
        <v>44561</v>
      </c>
    </row>
    <row r="7" spans="1:4" ht="17.399999999999999" x14ac:dyDescent="0.3">
      <c r="A7" s="116"/>
      <c r="B7" s="117"/>
      <c r="C7" s="118"/>
      <c r="D7" s="118"/>
    </row>
    <row r="8" spans="1:4" ht="17.399999999999999" x14ac:dyDescent="0.3">
      <c r="A8" s="119" t="s">
        <v>109</v>
      </c>
      <c r="B8" s="120" t="s">
        <v>110</v>
      </c>
      <c r="C8" s="121">
        <v>53412.15</v>
      </c>
      <c r="D8" s="121">
        <v>51969.599999999999</v>
      </c>
    </row>
    <row r="9" spans="1:4" ht="17.399999999999999" x14ac:dyDescent="0.3">
      <c r="A9" s="122" t="s">
        <v>111</v>
      </c>
      <c r="B9" s="123" t="s">
        <v>112</v>
      </c>
      <c r="C9" s="124">
        <v>0</v>
      </c>
      <c r="D9" s="124">
        <v>0</v>
      </c>
    </row>
    <row r="10" spans="1:4" ht="17.399999999999999" x14ac:dyDescent="0.3">
      <c r="A10" s="122" t="s">
        <v>113</v>
      </c>
      <c r="B10" s="123" t="s">
        <v>114</v>
      </c>
      <c r="C10" s="124">
        <v>807.35</v>
      </c>
      <c r="D10" s="124">
        <v>810.4</v>
      </c>
    </row>
    <row r="11" spans="1:4" ht="17.399999999999999" x14ac:dyDescent="0.3">
      <c r="A11" s="125" t="s">
        <v>115</v>
      </c>
      <c r="B11" s="126" t="s">
        <v>116</v>
      </c>
      <c r="C11" s="127">
        <v>54219.5</v>
      </c>
      <c r="D11" s="127">
        <v>52780</v>
      </c>
    </row>
    <row r="12" spans="1:4" ht="17.399999999999999" x14ac:dyDescent="0.3">
      <c r="A12" s="122" t="s">
        <v>117</v>
      </c>
      <c r="B12" s="123" t="s">
        <v>118</v>
      </c>
      <c r="C12" s="124">
        <v>0</v>
      </c>
      <c r="D12" s="124">
        <v>0</v>
      </c>
    </row>
    <row r="13" spans="1:4" ht="17.399999999999999" x14ac:dyDescent="0.3">
      <c r="A13" s="122" t="s">
        <v>119</v>
      </c>
      <c r="B13" s="123" t="s">
        <v>120</v>
      </c>
      <c r="C13" s="124">
        <v>0</v>
      </c>
      <c r="D13" s="124">
        <v>0</v>
      </c>
    </row>
    <row r="14" spans="1:4" ht="17.399999999999999" x14ac:dyDescent="0.3">
      <c r="A14" s="122" t="s">
        <v>121</v>
      </c>
      <c r="B14" s="123" t="s">
        <v>122</v>
      </c>
      <c r="C14" s="124">
        <v>0</v>
      </c>
      <c r="D14" s="124">
        <v>0</v>
      </c>
    </row>
    <row r="15" spans="1:4" ht="17.399999999999999" x14ac:dyDescent="0.3">
      <c r="A15" s="122" t="s">
        <v>123</v>
      </c>
      <c r="B15" s="123" t="s">
        <v>124</v>
      </c>
      <c r="C15" s="124">
        <v>265.45</v>
      </c>
      <c r="D15" s="124">
        <v>259.47000000000003</v>
      </c>
    </row>
    <row r="16" spans="1:4" ht="17.399999999999999" x14ac:dyDescent="0.3">
      <c r="A16" s="122" t="s">
        <v>125</v>
      </c>
      <c r="B16" s="123" t="s">
        <v>126</v>
      </c>
      <c r="C16" s="124">
        <v>17.09</v>
      </c>
      <c r="D16" s="124">
        <v>25.29</v>
      </c>
    </row>
    <row r="17" spans="1:4" ht="17.399999999999999" x14ac:dyDescent="0.3">
      <c r="A17" s="125" t="s">
        <v>127</v>
      </c>
      <c r="B17" s="128" t="s">
        <v>128</v>
      </c>
      <c r="C17" s="127">
        <v>54502.04</v>
      </c>
      <c r="D17" s="127">
        <v>53064.76</v>
      </c>
    </row>
    <row r="18" spans="1:4" ht="17.399999999999999" x14ac:dyDescent="0.3">
      <c r="A18" s="122"/>
      <c r="B18" s="129"/>
      <c r="C18" s="130"/>
      <c r="D18" s="130"/>
    </row>
    <row r="19" spans="1:4" ht="17.399999999999999" x14ac:dyDescent="0.3">
      <c r="A19" s="122" t="s">
        <v>129</v>
      </c>
      <c r="B19" s="123" t="s">
        <v>130</v>
      </c>
      <c r="C19" s="124">
        <v>43194.43</v>
      </c>
      <c r="D19" s="124">
        <v>40186.519999999997</v>
      </c>
    </row>
    <row r="20" spans="1:4" ht="17.399999999999999" x14ac:dyDescent="0.3">
      <c r="A20" s="122" t="s">
        <v>131</v>
      </c>
      <c r="B20" s="123" t="s">
        <v>132</v>
      </c>
      <c r="C20" s="124">
        <v>-18.420000000000002</v>
      </c>
      <c r="D20" s="124">
        <v>135.5</v>
      </c>
    </row>
    <row r="21" spans="1:4" ht="17.399999999999999" x14ac:dyDescent="0.3">
      <c r="A21" s="122" t="s">
        <v>133</v>
      </c>
      <c r="B21" s="123" t="s">
        <v>134</v>
      </c>
      <c r="C21" s="124">
        <v>94.01</v>
      </c>
      <c r="D21" s="124">
        <v>49.32</v>
      </c>
    </row>
    <row r="22" spans="1:4" ht="17.399999999999999" x14ac:dyDescent="0.3">
      <c r="A22" s="122" t="s">
        <v>135</v>
      </c>
      <c r="B22" s="123" t="s">
        <v>136</v>
      </c>
      <c r="C22" s="124">
        <v>0</v>
      </c>
      <c r="D22" s="124">
        <v>-4.74</v>
      </c>
    </row>
    <row r="23" spans="1:4" ht="17.399999999999999" x14ac:dyDescent="0.3">
      <c r="A23" s="122" t="s">
        <v>137</v>
      </c>
      <c r="B23" s="123" t="s">
        <v>138</v>
      </c>
      <c r="C23" s="124">
        <v>3894.85</v>
      </c>
      <c r="D23" s="124">
        <v>4353.25</v>
      </c>
    </row>
    <row r="24" spans="1:4" ht="17.399999999999999" x14ac:dyDescent="0.3">
      <c r="A24" s="122" t="s">
        <v>139</v>
      </c>
      <c r="B24" s="123" t="s">
        <v>140</v>
      </c>
      <c r="C24" s="124">
        <v>435.92</v>
      </c>
      <c r="D24" s="124">
        <v>448.73</v>
      </c>
    </row>
    <row r="25" spans="1:4" ht="17.399999999999999" x14ac:dyDescent="0.3">
      <c r="A25" s="122" t="s">
        <v>141</v>
      </c>
      <c r="B25" s="123" t="s">
        <v>142</v>
      </c>
      <c r="C25" s="124">
        <v>2660.9</v>
      </c>
      <c r="D25" s="124">
        <v>2886.53</v>
      </c>
    </row>
    <row r="26" spans="1:4" ht="17.399999999999999" x14ac:dyDescent="0.3">
      <c r="A26" s="122" t="s">
        <v>143</v>
      </c>
      <c r="B26" s="123" t="s">
        <v>144</v>
      </c>
      <c r="C26" s="124">
        <v>694.43</v>
      </c>
      <c r="D26" s="124">
        <v>747.1</v>
      </c>
    </row>
    <row r="27" spans="1:4" ht="17.399999999999999" x14ac:dyDescent="0.3">
      <c r="A27" s="122" t="s">
        <v>145</v>
      </c>
      <c r="B27" s="123" t="s">
        <v>146</v>
      </c>
      <c r="C27" s="124">
        <v>794.3</v>
      </c>
      <c r="D27" s="124">
        <v>746.72</v>
      </c>
    </row>
    <row r="28" spans="1:4" ht="17.399999999999999" x14ac:dyDescent="0.3">
      <c r="A28" s="122" t="s">
        <v>147</v>
      </c>
      <c r="B28" s="123" t="s">
        <v>148</v>
      </c>
      <c r="C28" s="124">
        <v>173.12</v>
      </c>
      <c r="D28" s="124">
        <v>155.79</v>
      </c>
    </row>
    <row r="29" spans="1:4" ht="17.399999999999999" x14ac:dyDescent="0.3">
      <c r="A29" s="122" t="s">
        <v>149</v>
      </c>
      <c r="B29" s="123" t="s">
        <v>150</v>
      </c>
      <c r="C29" s="124">
        <v>0</v>
      </c>
      <c r="D29" s="124">
        <v>0</v>
      </c>
    </row>
    <row r="30" spans="1:4" ht="17.399999999999999" x14ac:dyDescent="0.3">
      <c r="A30" s="122" t="s">
        <v>151</v>
      </c>
      <c r="B30" s="123" t="s">
        <v>152</v>
      </c>
      <c r="C30" s="124">
        <v>0</v>
      </c>
      <c r="D30" s="124">
        <v>0</v>
      </c>
    </row>
    <row r="31" spans="1:4" ht="17.399999999999999" x14ac:dyDescent="0.3">
      <c r="A31" s="122" t="s">
        <v>153</v>
      </c>
      <c r="B31" s="123" t="s">
        <v>154</v>
      </c>
      <c r="C31" s="124">
        <v>12.55</v>
      </c>
      <c r="D31" s="124">
        <v>11.71</v>
      </c>
    </row>
    <row r="32" spans="1:4" ht="18" x14ac:dyDescent="0.35">
      <c r="A32" s="125" t="s">
        <v>155</v>
      </c>
      <c r="B32" s="132" t="s">
        <v>156</v>
      </c>
      <c r="C32" s="127">
        <v>51936.1</v>
      </c>
      <c r="D32" s="127">
        <v>49716.42</v>
      </c>
    </row>
    <row r="33" spans="1:4" ht="17.399999999999999" x14ac:dyDescent="0.3">
      <c r="A33" s="122"/>
      <c r="B33" s="129"/>
      <c r="C33" s="130"/>
      <c r="D33" s="130"/>
    </row>
    <row r="34" spans="1:4" ht="17.399999999999999" x14ac:dyDescent="0.3">
      <c r="A34" s="125" t="s">
        <v>157</v>
      </c>
      <c r="B34" s="128" t="s">
        <v>158</v>
      </c>
      <c r="C34" s="127">
        <v>2565.94</v>
      </c>
      <c r="D34" s="127">
        <v>3348.34</v>
      </c>
    </row>
    <row r="35" spans="1:4" ht="17.399999999999999" x14ac:dyDescent="0.3">
      <c r="A35" s="133"/>
      <c r="B35" s="134"/>
      <c r="C35" s="130"/>
      <c r="D35" s="130"/>
    </row>
    <row r="36" spans="1:4" ht="17.399999999999999" x14ac:dyDescent="0.3">
      <c r="A36" s="122" t="s">
        <v>159</v>
      </c>
      <c r="B36" s="123" t="s">
        <v>160</v>
      </c>
      <c r="C36" s="124">
        <v>1.28</v>
      </c>
      <c r="D36" s="124">
        <v>0</v>
      </c>
    </row>
    <row r="37" spans="1:4" ht="17.399999999999999" x14ac:dyDescent="0.3">
      <c r="A37" s="122" t="s">
        <v>161</v>
      </c>
      <c r="B37" s="123" t="s">
        <v>162</v>
      </c>
      <c r="C37" s="124">
        <v>102.95</v>
      </c>
      <c r="D37" s="124">
        <v>56.43</v>
      </c>
    </row>
    <row r="38" spans="1:4" ht="17.399999999999999" x14ac:dyDescent="0.3">
      <c r="A38" s="122" t="s">
        <v>30</v>
      </c>
      <c r="B38" s="129"/>
      <c r="C38" s="135"/>
      <c r="D38" s="135"/>
    </row>
    <row r="39" spans="1:4" ht="17.399999999999999" x14ac:dyDescent="0.3">
      <c r="A39" s="122" t="s">
        <v>163</v>
      </c>
      <c r="B39" s="123" t="s">
        <v>164</v>
      </c>
      <c r="C39" s="124">
        <v>0</v>
      </c>
      <c r="D39" s="124">
        <v>0.18</v>
      </c>
    </row>
    <row r="40" spans="1:4" ht="17.399999999999999" x14ac:dyDescent="0.3">
      <c r="A40" s="122" t="s">
        <v>165</v>
      </c>
      <c r="B40" s="123" t="s">
        <v>166</v>
      </c>
      <c r="C40" s="124">
        <v>15.37</v>
      </c>
      <c r="D40" s="124">
        <v>14.87</v>
      </c>
    </row>
    <row r="41" spans="1:4" ht="17.399999999999999" x14ac:dyDescent="0.3">
      <c r="A41" s="122" t="s">
        <v>167</v>
      </c>
      <c r="B41" s="123" t="s">
        <v>168</v>
      </c>
      <c r="C41" s="124">
        <v>15.67</v>
      </c>
      <c r="D41" s="124">
        <v>8.68</v>
      </c>
    </row>
    <row r="42" spans="1:4" ht="17.399999999999999" x14ac:dyDescent="0.3">
      <c r="A42" s="122" t="s">
        <v>169</v>
      </c>
      <c r="B42" s="123" t="s">
        <v>170</v>
      </c>
      <c r="C42" s="124">
        <v>32.17</v>
      </c>
      <c r="D42" s="124">
        <v>15.27</v>
      </c>
    </row>
    <row r="43" spans="1:4" ht="17.399999999999999" x14ac:dyDescent="0.3">
      <c r="A43" s="136" t="s">
        <v>171</v>
      </c>
      <c r="B43" s="123" t="s">
        <v>172</v>
      </c>
      <c r="C43" s="124">
        <v>0</v>
      </c>
      <c r="D43" s="124">
        <v>0</v>
      </c>
    </row>
    <row r="44" spans="1:4" ht="17.399999999999999" x14ac:dyDescent="0.3">
      <c r="A44" s="122" t="s">
        <v>173</v>
      </c>
      <c r="B44" s="123" t="s">
        <v>174</v>
      </c>
      <c r="C44" s="124">
        <v>10.9</v>
      </c>
      <c r="D44" s="124">
        <v>175.05</v>
      </c>
    </row>
    <row r="45" spans="1:4" ht="18" x14ac:dyDescent="0.35">
      <c r="A45" s="125" t="s">
        <v>175</v>
      </c>
      <c r="B45" s="132" t="s">
        <v>176</v>
      </c>
      <c r="C45" s="137">
        <v>74.099999999999994</v>
      </c>
      <c r="D45" s="137">
        <v>214.05</v>
      </c>
    </row>
    <row r="46" spans="1:4" ht="17.399999999999999" x14ac:dyDescent="0.3">
      <c r="A46" s="122" t="s">
        <v>30</v>
      </c>
      <c r="B46" s="129"/>
      <c r="C46" s="135"/>
      <c r="D46" s="135"/>
    </row>
    <row r="47" spans="1:4" ht="17.399999999999999" x14ac:dyDescent="0.3">
      <c r="A47" s="122" t="s">
        <v>177</v>
      </c>
      <c r="B47" s="123" t="s">
        <v>178</v>
      </c>
      <c r="C47" s="124">
        <v>503.83</v>
      </c>
      <c r="D47" s="124">
        <v>536.21</v>
      </c>
    </row>
    <row r="48" spans="1:4" ht="17.399999999999999" x14ac:dyDescent="0.3">
      <c r="A48" s="122" t="s">
        <v>179</v>
      </c>
      <c r="B48" s="123" t="s">
        <v>180</v>
      </c>
      <c r="C48" s="124">
        <v>84.93</v>
      </c>
      <c r="D48" s="124">
        <v>47.91</v>
      </c>
    </row>
    <row r="49" spans="1:4" ht="17.399999999999999" x14ac:dyDescent="0.3">
      <c r="A49" s="122" t="s">
        <v>181</v>
      </c>
      <c r="B49" s="123" t="s">
        <v>182</v>
      </c>
      <c r="C49" s="124">
        <v>-6.63</v>
      </c>
      <c r="D49" s="124">
        <v>2.96</v>
      </c>
    </row>
    <row r="50" spans="1:4" ht="17.399999999999999" x14ac:dyDescent="0.3">
      <c r="A50" s="122" t="s">
        <v>183</v>
      </c>
      <c r="B50" s="123" t="s">
        <v>184</v>
      </c>
      <c r="C50" s="124">
        <v>0.1</v>
      </c>
      <c r="D50" s="124">
        <v>146.15</v>
      </c>
    </row>
    <row r="51" spans="1:4" ht="18" x14ac:dyDescent="0.35">
      <c r="A51" s="131" t="s">
        <v>185</v>
      </c>
      <c r="B51" s="132" t="s">
        <v>186</v>
      </c>
      <c r="C51" s="138">
        <v>582.23</v>
      </c>
      <c r="D51" s="138">
        <v>733.22</v>
      </c>
    </row>
    <row r="52" spans="1:4" ht="17.399999999999999" x14ac:dyDescent="0.3">
      <c r="A52" s="133"/>
      <c r="B52" s="134"/>
      <c r="C52" s="130"/>
      <c r="D52" s="130"/>
    </row>
    <row r="53" spans="1:4" ht="17.399999999999999" x14ac:dyDescent="0.3">
      <c r="A53" s="125" t="s">
        <v>187</v>
      </c>
      <c r="B53" s="128" t="s">
        <v>188</v>
      </c>
      <c r="C53" s="127">
        <v>-508.13</v>
      </c>
      <c r="D53" s="127">
        <v>-519.16999999999996</v>
      </c>
    </row>
    <row r="54" spans="1:4" ht="17.399999999999999" x14ac:dyDescent="0.3">
      <c r="A54" s="133"/>
      <c r="B54" s="134"/>
      <c r="C54" s="139"/>
      <c r="D54" s="139"/>
    </row>
    <row r="55" spans="1:4" ht="17.399999999999999" x14ac:dyDescent="0.3">
      <c r="A55" s="125" t="s">
        <v>189</v>
      </c>
      <c r="B55" s="128" t="s">
        <v>190</v>
      </c>
      <c r="C55" s="127">
        <v>1956.13</v>
      </c>
      <c r="D55" s="127">
        <v>2772.74</v>
      </c>
    </row>
    <row r="56" spans="1:4" ht="17.399999999999999" x14ac:dyDescent="0.3">
      <c r="A56" s="140"/>
      <c r="B56" s="134"/>
      <c r="C56" s="130"/>
      <c r="D56" s="130"/>
    </row>
    <row r="57" spans="1:4" ht="17.399999999999999" x14ac:dyDescent="0.3">
      <c r="A57" s="119" t="s">
        <v>192</v>
      </c>
      <c r="B57" s="120" t="s">
        <v>193</v>
      </c>
      <c r="C57" s="121">
        <v>146.09</v>
      </c>
      <c r="D57" s="121">
        <v>95.02</v>
      </c>
    </row>
    <row r="58" spans="1:4" ht="17.399999999999999" x14ac:dyDescent="0.3">
      <c r="A58" s="122" t="s">
        <v>194</v>
      </c>
      <c r="B58" s="123" t="s">
        <v>195</v>
      </c>
      <c r="C58" s="124">
        <v>0</v>
      </c>
      <c r="D58" s="124">
        <v>0</v>
      </c>
    </row>
    <row r="59" spans="1:4" ht="17.399999999999999" x14ac:dyDescent="0.3">
      <c r="A59" s="122" t="s">
        <v>169</v>
      </c>
      <c r="B59" s="123" t="s">
        <v>196</v>
      </c>
      <c r="C59" s="124">
        <v>10.62</v>
      </c>
      <c r="D59" s="124">
        <v>298.04000000000002</v>
      </c>
    </row>
    <row r="60" spans="1:4" ht="17.399999999999999" x14ac:dyDescent="0.3">
      <c r="A60" s="125" t="s">
        <v>197</v>
      </c>
      <c r="B60" s="128" t="s">
        <v>198</v>
      </c>
      <c r="C60" s="127">
        <v>156.71</v>
      </c>
      <c r="D60" s="127">
        <v>393.06</v>
      </c>
    </row>
    <row r="61" spans="1:4" ht="17.399999999999999" x14ac:dyDescent="0.3">
      <c r="A61" s="122"/>
      <c r="B61" s="141"/>
      <c r="C61" s="130"/>
      <c r="D61" s="130"/>
    </row>
    <row r="62" spans="1:4" ht="17.399999999999999" x14ac:dyDescent="0.3">
      <c r="A62" s="122" t="s">
        <v>199</v>
      </c>
      <c r="B62" s="123" t="s">
        <v>200</v>
      </c>
      <c r="C62" s="124">
        <v>6.47</v>
      </c>
      <c r="D62" s="124">
        <v>0.69</v>
      </c>
    </row>
    <row r="63" spans="1:4" ht="17.399999999999999" x14ac:dyDescent="0.3">
      <c r="A63" s="122" t="s">
        <v>201</v>
      </c>
      <c r="B63" s="123" t="s">
        <v>202</v>
      </c>
      <c r="C63" s="124">
        <v>0</v>
      </c>
      <c r="D63" s="124">
        <v>200.73</v>
      </c>
    </row>
    <row r="64" spans="1:4" ht="17.399999999999999" x14ac:dyDescent="0.3">
      <c r="A64" s="122" t="s">
        <v>203</v>
      </c>
      <c r="B64" s="123" t="s">
        <v>204</v>
      </c>
      <c r="C64" s="124">
        <v>318.48</v>
      </c>
      <c r="D64" s="124">
        <v>0.7</v>
      </c>
    </row>
    <row r="65" spans="1:4" ht="17.399999999999999" x14ac:dyDescent="0.3">
      <c r="A65" s="125" t="s">
        <v>205</v>
      </c>
      <c r="B65" s="128" t="s">
        <v>206</v>
      </c>
      <c r="C65" s="127">
        <v>324.95</v>
      </c>
      <c r="D65" s="127">
        <v>202.12</v>
      </c>
    </row>
    <row r="66" spans="1:4" ht="17.399999999999999" x14ac:dyDescent="0.3">
      <c r="A66" s="133"/>
      <c r="B66" s="134"/>
      <c r="C66" s="130"/>
      <c r="D66" s="130"/>
    </row>
    <row r="67" spans="1:4" ht="17.399999999999999" x14ac:dyDescent="0.3">
      <c r="A67" s="142" t="s">
        <v>207</v>
      </c>
      <c r="B67" s="143" t="s">
        <v>208</v>
      </c>
      <c r="C67" s="144">
        <v>-168.24</v>
      </c>
      <c r="D67" s="144">
        <v>190.94</v>
      </c>
    </row>
    <row r="68" spans="1:4" ht="17.399999999999999" x14ac:dyDescent="0.3">
      <c r="A68" s="133"/>
      <c r="B68" s="134"/>
      <c r="C68" s="130"/>
      <c r="D68" s="130"/>
    </row>
    <row r="69" spans="1:4" ht="17.399999999999999" x14ac:dyDescent="0.3">
      <c r="A69" s="122" t="s">
        <v>209</v>
      </c>
      <c r="B69" s="123" t="s">
        <v>210</v>
      </c>
      <c r="C69" s="124">
        <v>284.19</v>
      </c>
      <c r="D69" s="124">
        <v>354.06</v>
      </c>
    </row>
    <row r="70" spans="1:4" ht="17.399999999999999" x14ac:dyDescent="0.3">
      <c r="A70" s="122" t="s">
        <v>211</v>
      </c>
      <c r="B70" s="123" t="s">
        <v>212</v>
      </c>
      <c r="C70" s="124">
        <v>-220.34</v>
      </c>
      <c r="D70" s="124">
        <v>245.74</v>
      </c>
    </row>
    <row r="71" spans="1:4" ht="17.399999999999999" x14ac:dyDescent="0.3">
      <c r="A71" s="133"/>
      <c r="B71" s="134"/>
      <c r="C71" s="130"/>
      <c r="D71" s="130"/>
    </row>
    <row r="72" spans="1:4" ht="17.399999999999999" x14ac:dyDescent="0.3">
      <c r="A72" s="125" t="s">
        <v>213</v>
      </c>
      <c r="B72" s="128" t="s">
        <v>214</v>
      </c>
      <c r="C72" s="127">
        <v>54734.13</v>
      </c>
      <c r="D72" s="127">
        <v>53671.87</v>
      </c>
    </row>
    <row r="73" spans="1:4" ht="17.399999999999999" x14ac:dyDescent="0.3">
      <c r="A73" s="133"/>
      <c r="B73" s="134"/>
      <c r="C73" s="130"/>
      <c r="D73" s="130"/>
    </row>
    <row r="74" spans="1:4" ht="17.399999999999999" x14ac:dyDescent="0.3">
      <c r="A74" s="125" t="s">
        <v>215</v>
      </c>
      <c r="B74" s="128" t="s">
        <v>216</v>
      </c>
      <c r="C74" s="127">
        <v>53010.080000000002</v>
      </c>
      <c r="D74" s="127">
        <v>51308</v>
      </c>
    </row>
    <row r="75" spans="1:4" ht="17.399999999999999" x14ac:dyDescent="0.3">
      <c r="A75" s="133"/>
      <c r="B75" s="134"/>
      <c r="C75" s="139"/>
      <c r="D75" s="139"/>
    </row>
    <row r="76" spans="1:4" ht="17.399999999999999" x14ac:dyDescent="0.3">
      <c r="A76" s="125" t="s">
        <v>217</v>
      </c>
      <c r="B76" s="128" t="s">
        <v>218</v>
      </c>
      <c r="C76" s="127">
        <v>1724.04</v>
      </c>
      <c r="D76" s="127">
        <v>2363.87</v>
      </c>
    </row>
    <row r="77" spans="1:4" ht="17.399999999999999" x14ac:dyDescent="0.3">
      <c r="A77" s="133"/>
      <c r="B77" s="134"/>
      <c r="C77" s="130"/>
      <c r="D77" s="130"/>
    </row>
    <row r="78" spans="1:4" ht="17.399999999999999" x14ac:dyDescent="0.3">
      <c r="A78" s="122"/>
      <c r="B78" s="129"/>
      <c r="C78" s="135"/>
      <c r="D78" s="135"/>
    </row>
    <row r="79" spans="1:4" ht="17.399999999999999" x14ac:dyDescent="0.3">
      <c r="A79" s="136" t="s">
        <v>104</v>
      </c>
      <c r="B79" s="134"/>
      <c r="C79" s="145"/>
      <c r="D79" s="145"/>
    </row>
    <row r="80" spans="1:4" ht="17.399999999999999" x14ac:dyDescent="0.3">
      <c r="A80" s="122" t="s">
        <v>219</v>
      </c>
      <c r="B80" s="123" t="s">
        <v>220</v>
      </c>
      <c r="C80" s="124">
        <v>0</v>
      </c>
      <c r="D80" s="124">
        <v>0</v>
      </c>
    </row>
    <row r="81" spans="1:4" ht="17.399999999999999" x14ac:dyDescent="0.3">
      <c r="A81" s="122" t="s">
        <v>221</v>
      </c>
      <c r="B81" s="123" t="s">
        <v>222</v>
      </c>
      <c r="C81" s="124">
        <v>0</v>
      </c>
      <c r="D81" s="124">
        <v>0</v>
      </c>
    </row>
    <row r="82" spans="1:4" ht="17.399999999999999" x14ac:dyDescent="0.3">
      <c r="A82" s="134"/>
      <c r="B82" s="146"/>
      <c r="C82" s="130"/>
      <c r="D82" s="130"/>
    </row>
    <row r="83" spans="1:4" ht="17.399999999999999" x14ac:dyDescent="0.3">
      <c r="A83" s="147" t="s">
        <v>1</v>
      </c>
      <c r="B83" s="148" t="s">
        <v>0</v>
      </c>
      <c r="C83" s="149">
        <v>62</v>
      </c>
      <c r="D83" s="149">
        <v>100</v>
      </c>
    </row>
    <row r="84" spans="1:4" ht="17.399999999999999" x14ac:dyDescent="0.3">
      <c r="A84" s="150" t="s">
        <v>295</v>
      </c>
      <c r="B84" s="151" t="s">
        <v>296</v>
      </c>
      <c r="C84" s="152">
        <v>11.46</v>
      </c>
      <c r="D84" s="152">
        <v>0</v>
      </c>
    </row>
  </sheetData>
  <phoneticPr fontId="0" type="noConversion"/>
  <printOptions horizontalCentered="1"/>
  <pageMargins left="0.78740157480314965" right="0.78740157480314965" top="0.57999999999999996" bottom="0.81" header="0.51181102362204722" footer="0.51181102362204722"/>
  <pageSetup paperSize="9" scale="92" orientation="portrait" horizontalDpi="4294967292" verticalDpi="300" r:id="rId1"/>
  <headerFooter alignWithMargins="0">
    <oddHeader>&amp;CVWFI</oddHeader>
    <oddFooter>&amp;C&amp;"Arial,Normal"ANAFIN (2004) - VWFI  - Credit Management&amp;R&amp;"Arial,Normal"&amp;8- &amp;D</oddFooter>
  </headerFooter>
  <rowBreaks count="1" manualBreakCount="1">
    <brk id="56" max="655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6">
    <tabColor indexed="44"/>
  </sheetPr>
  <dimension ref="A1:E35"/>
  <sheetViews>
    <sheetView zoomScale="75" workbookViewId="0"/>
  </sheetViews>
  <sheetFormatPr baseColWidth="10" defaultRowHeight="12" x14ac:dyDescent="0.2"/>
  <cols>
    <col min="1" max="1" width="29.6640625" bestFit="1" customWidth="1"/>
    <col min="2" max="2" width="4.33203125" bestFit="1" customWidth="1"/>
  </cols>
  <sheetData>
    <row r="1" spans="1:5" ht="13.2" x14ac:dyDescent="0.25">
      <c r="A1" s="1" t="e">
        <f>#REF!</f>
        <v>#REF!</v>
      </c>
      <c r="B1" s="2"/>
      <c r="C1" s="2"/>
      <c r="D1" s="2"/>
      <c r="E1" s="3"/>
    </row>
    <row r="2" spans="1:5" ht="13.2" x14ac:dyDescent="0.25">
      <c r="A2" s="14"/>
      <c r="B2" s="2"/>
      <c r="C2" s="2"/>
      <c r="D2" s="2"/>
      <c r="E2" s="2"/>
    </row>
    <row r="3" spans="1:5" ht="15.6" x14ac:dyDescent="0.3">
      <c r="A3" s="4" t="s">
        <v>191</v>
      </c>
      <c r="B3" s="5"/>
      <c r="C3" s="5"/>
      <c r="D3" s="5"/>
      <c r="E3" s="5"/>
    </row>
    <row r="4" spans="1:5" ht="13.2" x14ac:dyDescent="0.25">
      <c r="A4" s="3"/>
      <c r="B4" s="2"/>
      <c r="C4" s="2"/>
      <c r="D4" s="2"/>
      <c r="E4" s="2"/>
    </row>
    <row r="5" spans="1:5" ht="13.2" x14ac:dyDescent="0.25">
      <c r="A5" s="36"/>
      <c r="B5" s="37"/>
      <c r="C5" s="37"/>
      <c r="D5" s="37"/>
      <c r="E5" s="38"/>
    </row>
    <row r="6" spans="1:5" ht="13.2" x14ac:dyDescent="0.25">
      <c r="A6" s="23" t="e">
        <f>"POSTES         "  &amp;#REF!</f>
        <v>#REF!</v>
      </c>
      <c r="B6" s="24"/>
      <c r="C6" s="25" t="e">
        <f>+#REF!</f>
        <v>#REF!</v>
      </c>
      <c r="D6" s="25" t="e">
        <f>+#REF!</f>
        <v>#REF!</v>
      </c>
      <c r="E6" s="26" t="e">
        <f>+#REF!</f>
        <v>#REF!</v>
      </c>
    </row>
    <row r="7" spans="1:5" ht="13.2" x14ac:dyDescent="0.25">
      <c r="A7" s="39"/>
      <c r="B7" s="40"/>
      <c r="C7" s="40"/>
      <c r="D7" s="40"/>
      <c r="E7" s="41"/>
    </row>
    <row r="8" spans="1:5" ht="13.2" x14ac:dyDescent="0.25">
      <c r="A8" s="11" t="s">
        <v>192</v>
      </c>
      <c r="B8" s="15" t="s">
        <v>193</v>
      </c>
      <c r="C8" s="46"/>
      <c r="D8" s="34">
        <v>146.09</v>
      </c>
      <c r="E8" s="34">
        <v>95.02</v>
      </c>
    </row>
    <row r="9" spans="1:5" ht="13.2" x14ac:dyDescent="0.25">
      <c r="A9" s="6" t="s">
        <v>194</v>
      </c>
      <c r="B9" s="17" t="s">
        <v>195</v>
      </c>
      <c r="C9" s="27"/>
      <c r="D9" s="28">
        <v>0</v>
      </c>
      <c r="E9" s="28">
        <v>0</v>
      </c>
    </row>
    <row r="10" spans="1:5" ht="13.2" x14ac:dyDescent="0.25">
      <c r="A10" s="6" t="s">
        <v>169</v>
      </c>
      <c r="B10" s="17" t="s">
        <v>196</v>
      </c>
      <c r="C10" s="27"/>
      <c r="D10" s="28">
        <v>10.62</v>
      </c>
      <c r="E10" s="28">
        <v>298.04000000000002</v>
      </c>
    </row>
    <row r="11" spans="1:5" ht="13.2" x14ac:dyDescent="0.25">
      <c r="A11" s="9" t="s">
        <v>197</v>
      </c>
      <c r="B11" s="19" t="s">
        <v>198</v>
      </c>
      <c r="C11" s="27"/>
      <c r="D11" s="28">
        <v>156.71</v>
      </c>
      <c r="E11" s="28">
        <v>393.06</v>
      </c>
    </row>
    <row r="12" spans="1:5" ht="13.2" x14ac:dyDescent="0.25">
      <c r="A12" s="6"/>
      <c r="B12" s="8"/>
      <c r="C12" s="31"/>
      <c r="D12" s="32"/>
      <c r="E12" s="32"/>
    </row>
    <row r="13" spans="1:5" ht="13.2" x14ac:dyDescent="0.25">
      <c r="A13" s="6" t="s">
        <v>199</v>
      </c>
      <c r="B13" s="17" t="s">
        <v>200</v>
      </c>
      <c r="C13" s="27"/>
      <c r="D13" s="28">
        <v>6.47</v>
      </c>
      <c r="E13" s="28">
        <v>0.69</v>
      </c>
    </row>
    <row r="14" spans="1:5" ht="13.2" x14ac:dyDescent="0.25">
      <c r="A14" s="6" t="s">
        <v>201</v>
      </c>
      <c r="B14" s="17" t="s">
        <v>202</v>
      </c>
      <c r="C14" s="27"/>
      <c r="D14" s="28">
        <v>0</v>
      </c>
      <c r="E14" s="28">
        <v>200.73</v>
      </c>
    </row>
    <row r="15" spans="1:5" ht="13.2" x14ac:dyDescent="0.25">
      <c r="A15" s="6" t="s">
        <v>203</v>
      </c>
      <c r="B15" s="17" t="s">
        <v>204</v>
      </c>
      <c r="C15" s="27"/>
      <c r="D15" s="28">
        <v>318.48</v>
      </c>
      <c r="E15" s="28">
        <v>0.7</v>
      </c>
    </row>
    <row r="16" spans="1:5" ht="13.2" x14ac:dyDescent="0.25">
      <c r="A16" s="9" t="s">
        <v>205</v>
      </c>
      <c r="B16" s="19" t="s">
        <v>206</v>
      </c>
      <c r="C16" s="27"/>
      <c r="D16" s="28">
        <v>324.95</v>
      </c>
      <c r="E16" s="28">
        <v>202.12</v>
      </c>
    </row>
    <row r="17" spans="1:5" ht="13.2" x14ac:dyDescent="0.25">
      <c r="A17" s="18"/>
      <c r="B17" s="10"/>
      <c r="C17" s="31"/>
      <c r="D17" s="32"/>
      <c r="E17" s="32"/>
    </row>
    <row r="18" spans="1:5" ht="13.2" x14ac:dyDescent="0.25">
      <c r="A18" s="16" t="s">
        <v>207</v>
      </c>
      <c r="B18" s="20" t="s">
        <v>208</v>
      </c>
      <c r="C18" s="27"/>
      <c r="D18" s="28">
        <v>-168.24</v>
      </c>
      <c r="E18" s="28">
        <v>190.94</v>
      </c>
    </row>
    <row r="19" spans="1:5" ht="13.2" x14ac:dyDescent="0.25">
      <c r="A19" s="18"/>
      <c r="B19" s="10"/>
      <c r="C19" s="31"/>
      <c r="D19" s="32"/>
      <c r="E19" s="32"/>
    </row>
    <row r="20" spans="1:5" ht="13.2" x14ac:dyDescent="0.25">
      <c r="A20" s="6" t="s">
        <v>209</v>
      </c>
      <c r="B20" s="17" t="s">
        <v>210</v>
      </c>
      <c r="C20" s="27"/>
      <c r="D20" s="28">
        <v>284.19</v>
      </c>
      <c r="E20" s="28">
        <v>354.06</v>
      </c>
    </row>
    <row r="21" spans="1:5" ht="13.2" x14ac:dyDescent="0.25">
      <c r="A21" s="6" t="s">
        <v>211</v>
      </c>
      <c r="B21" s="17" t="s">
        <v>212</v>
      </c>
      <c r="C21" s="27"/>
      <c r="D21" s="28">
        <v>-220.34</v>
      </c>
      <c r="E21" s="28">
        <v>245.74</v>
      </c>
    </row>
    <row r="22" spans="1:5" ht="13.2" x14ac:dyDescent="0.25">
      <c r="A22" s="18"/>
      <c r="B22" s="10"/>
      <c r="C22" s="31"/>
      <c r="D22" s="32"/>
      <c r="E22" s="32"/>
    </row>
    <row r="23" spans="1:5" ht="13.2" x14ac:dyDescent="0.25">
      <c r="A23" s="9" t="s">
        <v>213</v>
      </c>
      <c r="B23" s="19" t="s">
        <v>214</v>
      </c>
      <c r="C23" s="27"/>
      <c r="D23" s="28">
        <v>54734.13</v>
      </c>
      <c r="E23" s="28">
        <v>53671.87</v>
      </c>
    </row>
    <row r="24" spans="1:5" ht="13.2" x14ac:dyDescent="0.25">
      <c r="A24" s="18"/>
      <c r="B24" s="10"/>
      <c r="C24" s="31"/>
      <c r="D24" s="32"/>
      <c r="E24" s="32"/>
    </row>
    <row r="25" spans="1:5" ht="13.2" x14ac:dyDescent="0.25">
      <c r="A25" s="9" t="s">
        <v>215</v>
      </c>
      <c r="B25" s="19" t="s">
        <v>216</v>
      </c>
      <c r="C25" s="27"/>
      <c r="D25" s="28">
        <v>53010.080000000002</v>
      </c>
      <c r="E25" s="28">
        <v>51308</v>
      </c>
    </row>
    <row r="26" spans="1:5" ht="13.2" x14ac:dyDescent="0.25">
      <c r="A26" s="18"/>
      <c r="B26" s="10"/>
      <c r="C26" s="31"/>
      <c r="D26" s="32"/>
      <c r="E26" s="32"/>
    </row>
    <row r="27" spans="1:5" ht="13.2" x14ac:dyDescent="0.25">
      <c r="A27" s="16" t="s">
        <v>217</v>
      </c>
      <c r="B27" s="20" t="s">
        <v>218</v>
      </c>
      <c r="C27" s="27"/>
      <c r="D27" s="28">
        <v>1724.04</v>
      </c>
      <c r="E27" s="28">
        <v>2363.87</v>
      </c>
    </row>
    <row r="28" spans="1:5" ht="13.2" x14ac:dyDescent="0.25">
      <c r="A28" s="18"/>
      <c r="B28" s="10"/>
      <c r="C28" s="31"/>
      <c r="D28" s="32"/>
      <c r="E28" s="32"/>
    </row>
    <row r="29" spans="1:5" ht="13.2" x14ac:dyDescent="0.25">
      <c r="A29" s="6"/>
      <c r="B29" s="12"/>
      <c r="C29" s="29"/>
      <c r="D29" s="30"/>
      <c r="E29" s="30"/>
    </row>
    <row r="30" spans="1:5" ht="13.2" x14ac:dyDescent="0.25">
      <c r="A30" s="7" t="s">
        <v>104</v>
      </c>
      <c r="B30" s="10"/>
      <c r="C30" s="47"/>
      <c r="D30" s="35"/>
      <c r="E30" s="35"/>
    </row>
    <row r="31" spans="1:5" ht="13.2" x14ac:dyDescent="0.25">
      <c r="A31" s="6" t="s">
        <v>219</v>
      </c>
      <c r="B31" s="17" t="s">
        <v>220</v>
      </c>
      <c r="C31" s="27"/>
      <c r="D31" s="28">
        <v>0</v>
      </c>
      <c r="E31" s="28">
        <v>0</v>
      </c>
    </row>
    <row r="32" spans="1:5" ht="13.2" x14ac:dyDescent="0.25">
      <c r="A32" s="6" t="s">
        <v>221</v>
      </c>
      <c r="B32" s="17" t="s">
        <v>222</v>
      </c>
      <c r="C32" s="27"/>
      <c r="D32" s="28">
        <v>0</v>
      </c>
      <c r="E32" s="28">
        <v>0</v>
      </c>
    </row>
    <row r="33" spans="1:5" ht="13.2" x14ac:dyDescent="0.25">
      <c r="A33" s="10"/>
      <c r="B33" s="43"/>
      <c r="C33" s="31"/>
      <c r="D33" s="32"/>
      <c r="E33" s="32"/>
    </row>
    <row r="34" spans="1:5" ht="13.2" x14ac:dyDescent="0.25">
      <c r="A34" s="22" t="s">
        <v>1</v>
      </c>
      <c r="B34" s="22" t="s">
        <v>0</v>
      </c>
      <c r="C34" s="33"/>
      <c r="D34" s="44">
        <v>63.44</v>
      </c>
      <c r="E34" s="44">
        <v>0</v>
      </c>
    </row>
    <row r="35" spans="1:5" ht="13.2" x14ac:dyDescent="0.25">
      <c r="A35" s="13" t="s">
        <v>295</v>
      </c>
      <c r="B35" s="21" t="s">
        <v>296</v>
      </c>
      <c r="C35" s="48"/>
      <c r="D35" s="48">
        <v>11.46</v>
      </c>
      <c r="E35" s="48">
        <v>0</v>
      </c>
    </row>
  </sheetData>
  <phoneticPr fontId="14" type="noConversion"/>
  <pageMargins left="0.78740157499999996" right="0.78740157499999996" top="0.984251969" bottom="0.984251969" header="0.4921259845" footer="0.492125984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L118"/>
  <sheetViews>
    <sheetView topLeftCell="A75" workbookViewId="0">
      <selection activeCell="B73" activeCellId="4" sqref="B55:D55 B58:D58 B63:D63 B67:D67 B73:D73"/>
    </sheetView>
  </sheetViews>
  <sheetFormatPr baseColWidth="10" defaultRowHeight="12" x14ac:dyDescent="0.2"/>
  <cols>
    <col min="2" max="2" width="66.6640625" customWidth="1"/>
    <col min="3" max="3" width="21.33203125" customWidth="1"/>
    <col min="4" max="4" width="18.88671875" customWidth="1"/>
    <col min="11" max="11" width="12.77734375" customWidth="1"/>
  </cols>
  <sheetData>
    <row r="1" spans="2:9" ht="15" customHeight="1" x14ac:dyDescent="0.2">
      <c r="B1" s="227" t="s">
        <v>368</v>
      </c>
      <c r="C1" s="228"/>
      <c r="D1" s="228"/>
    </row>
    <row r="2" spans="2:9" ht="13.8" x14ac:dyDescent="0.25">
      <c r="B2" s="80" t="s">
        <v>311</v>
      </c>
      <c r="C2" s="82">
        <v>2020</v>
      </c>
      <c r="D2" s="82">
        <v>2021</v>
      </c>
    </row>
    <row r="3" spans="2:9" ht="14.4" x14ac:dyDescent="0.3">
      <c r="B3" s="90" t="s">
        <v>372</v>
      </c>
      <c r="C3" s="62">
        <f>PASSIF!C20+PASSIF!C30+PASSIF!C34+PASSIF!C36</f>
        <v>11790.24</v>
      </c>
      <c r="D3" s="62">
        <f>PASSIF!D20+PASSIF!D30+PASSIF!D34+PASSIF!D36</f>
        <v>10429.07</v>
      </c>
      <c r="F3" s="210" t="s">
        <v>350</v>
      </c>
      <c r="G3" s="211"/>
      <c r="H3" s="211"/>
      <c r="I3" s="211"/>
    </row>
    <row r="4" spans="2:9" ht="14.4" x14ac:dyDescent="0.3">
      <c r="B4" s="90" t="s">
        <v>371</v>
      </c>
      <c r="C4" s="62">
        <f>ACTIF!C30</f>
        <v>6860.85</v>
      </c>
      <c r="D4" s="62">
        <f>ACTIF!D30</f>
        <v>6340.97</v>
      </c>
    </row>
    <row r="5" spans="2:9" ht="14.4" x14ac:dyDescent="0.3">
      <c r="B5" s="54"/>
      <c r="C5" s="61"/>
      <c r="D5" s="61"/>
    </row>
    <row r="6" spans="2:9" ht="14.4" x14ac:dyDescent="0.3">
      <c r="B6" s="63" t="s">
        <v>128</v>
      </c>
      <c r="C6" s="84">
        <f>C3-C4</f>
        <v>4929.3899999999994</v>
      </c>
      <c r="D6" s="84">
        <f>D3-D4</f>
        <v>4088.0999999999995</v>
      </c>
    </row>
    <row r="7" spans="2:9" ht="14.4" x14ac:dyDescent="0.3">
      <c r="B7" s="63" t="s">
        <v>344</v>
      </c>
      <c r="C7" s="84">
        <f>C6/'Compte de résultat '!C8*360</f>
        <v>33.22428323892597</v>
      </c>
      <c r="D7" s="84">
        <f>D6/'Compte de résultat '!D8*360</f>
        <v>28.318786367414795</v>
      </c>
    </row>
    <row r="8" spans="2:9" ht="14.4" x14ac:dyDescent="0.3">
      <c r="B8" s="54"/>
      <c r="C8" s="55"/>
      <c r="D8" s="55"/>
    </row>
    <row r="9" spans="2:9" ht="14.4" x14ac:dyDescent="0.3">
      <c r="B9" s="54"/>
      <c r="C9" s="55"/>
      <c r="D9" s="55"/>
    </row>
    <row r="10" spans="2:9" ht="14.4" x14ac:dyDescent="0.3">
      <c r="B10" s="54" t="s">
        <v>300</v>
      </c>
      <c r="C10" s="61">
        <f>ACTIF!C48+ACTIF!C52-ACTIF!C45-ACTIF!C46</f>
        <v>3089.4900000000007</v>
      </c>
      <c r="D10" s="61">
        <f>ACTIF!D48+ACTIF!D52-ACTIF!D45-ACTIF!D46</f>
        <v>2604.9999999999991</v>
      </c>
    </row>
    <row r="11" spans="2:9" ht="14.4" x14ac:dyDescent="0.3">
      <c r="B11" s="54" t="s">
        <v>302</v>
      </c>
      <c r="C11" s="61">
        <f>PASSIF!C44-PASSIF!C36-PASSIF!C35-PASSIF!C34</f>
        <v>4295.2899999999991</v>
      </c>
      <c r="D11" s="61">
        <f>PASSIF!D44-PASSIF!D36-PASSIF!D35-PASSIF!D34</f>
        <v>4826.3899999999994</v>
      </c>
    </row>
    <row r="12" spans="2:9" ht="14.4" x14ac:dyDescent="0.3">
      <c r="B12" s="63" t="s">
        <v>297</v>
      </c>
      <c r="C12" s="86">
        <f>C10-C11</f>
        <v>-1205.7999999999984</v>
      </c>
      <c r="D12" s="86">
        <f>D10-D11</f>
        <v>-2221.3900000000003</v>
      </c>
    </row>
    <row r="13" spans="2:9" ht="14.4" x14ac:dyDescent="0.3">
      <c r="B13" s="63" t="s">
        <v>301</v>
      </c>
      <c r="C13" s="85">
        <f>C12/'Compte de résultat '!C8*360</f>
        <v>-8.1271396114928791</v>
      </c>
      <c r="D13" s="85">
        <f>D12/'Compte de résultat '!D8*360</f>
        <v>-15.387849819894711</v>
      </c>
    </row>
    <row r="14" spans="2:9" ht="14.4" x14ac:dyDescent="0.3">
      <c r="B14" s="54"/>
      <c r="C14" s="55"/>
      <c r="D14" s="55"/>
    </row>
    <row r="15" spans="2:9" ht="14.4" x14ac:dyDescent="0.3">
      <c r="B15" s="54"/>
      <c r="C15" s="55"/>
      <c r="D15" s="55"/>
    </row>
    <row r="16" spans="2:9" ht="14.4" x14ac:dyDescent="0.3">
      <c r="B16" s="63" t="s">
        <v>348</v>
      </c>
      <c r="C16" s="87">
        <f>C6-C12</f>
        <v>6135.1899999999978</v>
      </c>
      <c r="D16" s="87">
        <f>D6-D12</f>
        <v>6309.49</v>
      </c>
    </row>
    <row r="17" spans="2:8" ht="14.4" x14ac:dyDescent="0.3">
      <c r="B17" s="72" t="s">
        <v>349</v>
      </c>
      <c r="C17" s="87">
        <f>ACTIF!C45+ACTIF!C46-PASSIF!C35</f>
        <v>6135.1900000000005</v>
      </c>
      <c r="D17" s="87">
        <f>ACTIF!D45+ACTIF!D46-PASSIF!D35</f>
        <v>6309.49</v>
      </c>
    </row>
    <row r="18" spans="2:8" ht="14.4" x14ac:dyDescent="0.3">
      <c r="B18" s="63" t="s">
        <v>303</v>
      </c>
      <c r="C18" s="87">
        <f>C16/'Compte de résultat '!C11*360</f>
        <v>40.735683656249115</v>
      </c>
      <c r="D18" s="87">
        <f>D16/'Compte de résultat '!D11*360</f>
        <v>43.035551345206514</v>
      </c>
    </row>
    <row r="19" spans="2:8" ht="13.8" x14ac:dyDescent="0.3">
      <c r="C19" s="56"/>
      <c r="D19" s="56"/>
    </row>
    <row r="22" spans="2:8" ht="15.6" x14ac:dyDescent="0.2">
      <c r="B22" s="227" t="s">
        <v>321</v>
      </c>
      <c r="C22" s="228"/>
      <c r="D22" s="228"/>
    </row>
    <row r="24" spans="2:8" ht="14.4" x14ac:dyDescent="0.3">
      <c r="B24" s="80" t="s">
        <v>311</v>
      </c>
      <c r="C24" s="82">
        <v>2020</v>
      </c>
      <c r="D24" s="82">
        <v>2021</v>
      </c>
      <c r="E24" s="53"/>
      <c r="F24" s="53"/>
      <c r="G24" s="51"/>
      <c r="H24" s="51"/>
    </row>
    <row r="25" spans="2:8" ht="14.4" x14ac:dyDescent="0.3">
      <c r="B25" s="83" t="s">
        <v>367</v>
      </c>
      <c r="C25" s="64">
        <f>'RES04'!D27</f>
        <v>1724.04</v>
      </c>
      <c r="D25" s="64">
        <f>'RES04'!E27</f>
        <v>2363.87</v>
      </c>
      <c r="E25" s="52"/>
      <c r="F25" s="52"/>
      <c r="G25" s="51"/>
      <c r="H25" s="51"/>
    </row>
    <row r="26" spans="2:8" ht="14.4" x14ac:dyDescent="0.3">
      <c r="B26" s="74" t="s">
        <v>354</v>
      </c>
      <c r="C26" s="65">
        <f>SUM(C27:C29)</f>
        <v>1789.73</v>
      </c>
      <c r="D26" s="65">
        <f>SUM(D27:D29)</f>
        <v>557.91000000000008</v>
      </c>
      <c r="E26" s="52"/>
      <c r="F26" s="52"/>
      <c r="G26" s="51"/>
      <c r="H26" s="51"/>
    </row>
    <row r="27" spans="2:8" ht="14.4" x14ac:dyDescent="0.3">
      <c r="B27" s="73" t="s">
        <v>351</v>
      </c>
      <c r="C27" s="64">
        <f>'Compte de résultat '!C27+'Compte de résultat '!C28+'Compte de résultat '!C29+'Compte de résultat '!C30</f>
        <v>967.42</v>
      </c>
      <c r="D27" s="64">
        <v>21</v>
      </c>
      <c r="E27" s="52"/>
      <c r="F27" s="52"/>
      <c r="G27" s="51"/>
      <c r="H27" s="51"/>
    </row>
    <row r="28" spans="2:8" ht="14.4" x14ac:dyDescent="0.3">
      <c r="B28" s="73" t="s">
        <v>353</v>
      </c>
      <c r="C28" s="64">
        <f>'Compte de résultat '!C47</f>
        <v>503.83</v>
      </c>
      <c r="D28" s="64">
        <f>'Compte de résultat '!D47</f>
        <v>536.21</v>
      </c>
      <c r="E28" s="52"/>
      <c r="F28" s="52"/>
      <c r="G28" s="51"/>
      <c r="H28" s="51"/>
    </row>
    <row r="29" spans="2:8" ht="14.4" x14ac:dyDescent="0.3">
      <c r="B29" s="73" t="s">
        <v>352</v>
      </c>
      <c r="C29" s="64">
        <f>'Compte de résultat '!C64</f>
        <v>318.48</v>
      </c>
      <c r="D29" s="64">
        <f>'Compte de résultat '!D64</f>
        <v>0.7</v>
      </c>
      <c r="E29" s="52"/>
      <c r="F29" s="52"/>
      <c r="G29" s="51"/>
      <c r="H29" s="51"/>
    </row>
    <row r="30" spans="2:8" ht="15.6" x14ac:dyDescent="0.3">
      <c r="B30" s="74" t="s">
        <v>355</v>
      </c>
      <c r="C30" s="65">
        <f>SUM(C31:C33)</f>
        <v>246.24</v>
      </c>
      <c r="D30" s="65">
        <f>SUM(D31:D33)</f>
        <v>472.78000000000009</v>
      </c>
      <c r="E30" s="52"/>
      <c r="F30" s="52"/>
      <c r="G30" s="51" t="s">
        <v>338</v>
      </c>
      <c r="H30" s="51"/>
    </row>
    <row r="31" spans="2:8" ht="14.4" x14ac:dyDescent="0.3">
      <c r="B31" s="73" t="s">
        <v>351</v>
      </c>
      <c r="C31" s="64">
        <f>'Compte de résultat '!C15-'Compte de résultat '!C83</f>
        <v>203.45</v>
      </c>
      <c r="D31" s="64">
        <f>'Compte de résultat '!D15-'Compte de résultat '!D83</f>
        <v>159.47000000000003</v>
      </c>
      <c r="E31" s="52"/>
      <c r="F31" s="52"/>
      <c r="G31" s="51"/>
      <c r="H31" s="51"/>
    </row>
    <row r="32" spans="2:8" ht="14.4" x14ac:dyDescent="0.3">
      <c r="B32" s="73" t="s">
        <v>353</v>
      </c>
      <c r="C32" s="64">
        <f>'Compte de résultat '!C42</f>
        <v>32.17</v>
      </c>
      <c r="D32" s="64">
        <f>'Compte de résultat '!D42</f>
        <v>15.27</v>
      </c>
      <c r="E32" s="52"/>
      <c r="F32" s="52"/>
      <c r="G32" s="51"/>
      <c r="H32" s="51"/>
    </row>
    <row r="33" spans="2:11" ht="14.4" x14ac:dyDescent="0.3">
      <c r="B33" s="73" t="s">
        <v>352</v>
      </c>
      <c r="C33" s="64">
        <f>'Compte de résultat '!C59</f>
        <v>10.62</v>
      </c>
      <c r="D33" s="64">
        <f>'Compte de résultat '!D59</f>
        <v>298.04000000000002</v>
      </c>
      <c r="E33" s="52"/>
      <c r="F33" s="52"/>
      <c r="G33" s="51"/>
      <c r="H33" s="51" t="s">
        <v>305</v>
      </c>
    </row>
    <row r="34" spans="2:11" ht="15.6" x14ac:dyDescent="0.3">
      <c r="B34" s="75" t="s">
        <v>356</v>
      </c>
      <c r="C34" s="64">
        <f>'Compte de résultat '!C63</f>
        <v>0</v>
      </c>
      <c r="D34" s="64">
        <f>'Compte de résultat '!D63</f>
        <v>200.73</v>
      </c>
      <c r="E34" s="52"/>
      <c r="F34" s="52"/>
      <c r="G34" s="51"/>
      <c r="H34" s="51"/>
    </row>
    <row r="35" spans="2:11" ht="18" x14ac:dyDescent="0.35">
      <c r="B35" s="75" t="s">
        <v>357</v>
      </c>
      <c r="C35" s="64">
        <f>'RES04'!D9</f>
        <v>0</v>
      </c>
      <c r="D35" s="64">
        <f>'RES04'!E9</f>
        <v>0</v>
      </c>
      <c r="E35" s="52"/>
      <c r="F35" s="52"/>
      <c r="G35" s="51"/>
      <c r="H35" s="51"/>
    </row>
    <row r="36" spans="2:11" ht="14.4" x14ac:dyDescent="0.3">
      <c r="B36" s="51"/>
      <c r="C36" s="64"/>
      <c r="D36" s="64"/>
      <c r="E36" s="52"/>
      <c r="F36" s="52"/>
      <c r="G36" s="51"/>
      <c r="H36" s="51"/>
    </row>
    <row r="37" spans="2:11" ht="14.4" x14ac:dyDescent="0.3">
      <c r="B37" s="67" t="s">
        <v>306</v>
      </c>
      <c r="C37" s="88">
        <f>C25+C26-C30+C34-C35 +100</f>
        <v>3367.5299999999997</v>
      </c>
      <c r="D37" s="88">
        <f>D25+D26-D30+D34-D35+62</f>
        <v>2711.7299999999996</v>
      </c>
      <c r="E37" s="52"/>
      <c r="F37" s="52"/>
      <c r="G37" s="51"/>
      <c r="H37" s="51"/>
    </row>
    <row r="38" spans="2:11" ht="14.4" x14ac:dyDescent="0.3">
      <c r="B38" s="68" t="s">
        <v>307</v>
      </c>
      <c r="C38" s="66">
        <f>C25+C26-C30</f>
        <v>3267.5299999999997</v>
      </c>
      <c r="D38" s="66">
        <f>D25+D26-D30</f>
        <v>2448.9999999999995</v>
      </c>
      <c r="E38" s="52"/>
      <c r="F38" s="52"/>
      <c r="G38" s="153" t="s">
        <v>369</v>
      </c>
    </row>
    <row r="41" spans="2:11" ht="15.6" x14ac:dyDescent="0.2">
      <c r="B41" s="227" t="s">
        <v>310</v>
      </c>
      <c r="C41" s="228"/>
      <c r="D41" s="228"/>
    </row>
    <row r="43" spans="2:11" ht="13.8" x14ac:dyDescent="0.25">
      <c r="B43" s="80" t="s">
        <v>311</v>
      </c>
      <c r="C43" s="81">
        <v>2020</v>
      </c>
      <c r="D43" s="81">
        <v>2021</v>
      </c>
    </row>
    <row r="44" spans="2:11" ht="14.4" x14ac:dyDescent="0.3">
      <c r="B44" s="54" t="s">
        <v>2</v>
      </c>
      <c r="C44" s="70">
        <f>'Compte de résultat '!C11</f>
        <v>54219.5</v>
      </c>
      <c r="D44" s="70">
        <f>'Compte de résultat '!D11</f>
        <v>52780</v>
      </c>
    </row>
    <row r="45" spans="2:11" ht="14.4" x14ac:dyDescent="0.3">
      <c r="B45" s="54" t="s">
        <v>308</v>
      </c>
      <c r="C45" s="70">
        <f>'Compte de résultat '!C11-('Compte de résultat '!C19+'Compte de résultat '!C20+'Compte de résultat '!C21+'Compte de résultat '!C22+'Compte de résultat '!C23+'Compte de résultat '!C24+'Compte de résultat '!C25+'Compte de résultat '!C26)+'Compte de résultat '!C14</f>
        <v>3263.3799999999974</v>
      </c>
      <c r="D45" s="70">
        <f>'Compte de résultat '!D11-('Compte de résultat '!D19+'Compte de résultat '!D20+'Compte de résultat '!D21+'Compte de résultat '!D22+'Compte de résultat '!D23+'Compte de résultat '!D24+'Compte de résultat '!D25+'Compte de résultat '!D26)+'Compte de résultat '!D14</f>
        <v>3977.7900000000009</v>
      </c>
    </row>
    <row r="46" spans="2:11" ht="14.4" x14ac:dyDescent="0.3">
      <c r="B46" s="54" t="s">
        <v>309</v>
      </c>
      <c r="C46" s="70">
        <f>'Compte de résultat '!C34</f>
        <v>2565.94</v>
      </c>
      <c r="D46" s="70">
        <f>'Compte de résultat '!D34</f>
        <v>3348.34</v>
      </c>
    </row>
    <row r="47" spans="2:11" ht="14.4" x14ac:dyDescent="0.3">
      <c r="B47" s="54" t="s">
        <v>304</v>
      </c>
      <c r="C47" s="70">
        <f>'RES04'!D27</f>
        <v>1724.04</v>
      </c>
      <c r="D47" s="70">
        <f>'RES04'!E27</f>
        <v>2363.87</v>
      </c>
    </row>
    <row r="48" spans="2:11" ht="14.4" customHeight="1" x14ac:dyDescent="0.3">
      <c r="B48" s="75" t="s">
        <v>358</v>
      </c>
      <c r="C48" s="71">
        <f>C45/C44</f>
        <v>6.0188308634347376E-2</v>
      </c>
      <c r="D48" s="71">
        <f>D45/D44</f>
        <v>7.5365479348237979E-2</v>
      </c>
      <c r="E48" s="91" t="s">
        <v>375</v>
      </c>
      <c r="F48" s="54"/>
      <c r="G48" s="54"/>
      <c r="H48" s="54"/>
      <c r="I48" s="54"/>
      <c r="J48" s="54"/>
      <c r="K48" s="54"/>
    </row>
    <row r="49" spans="2:12" ht="14.4" x14ac:dyDescent="0.3">
      <c r="B49" s="75" t="s">
        <v>359</v>
      </c>
      <c r="C49" s="71">
        <f>C46/C44</f>
        <v>4.7325039884174511E-2</v>
      </c>
      <c r="D49" s="71">
        <f>D46/D44</f>
        <v>6.3439560439560436E-2</v>
      </c>
      <c r="E49" s="91" t="s">
        <v>374</v>
      </c>
      <c r="F49" s="54"/>
      <c r="G49" s="54"/>
      <c r="H49" s="54"/>
      <c r="I49" s="54"/>
      <c r="J49" s="54"/>
      <c r="K49" s="54"/>
    </row>
    <row r="50" spans="2:12" ht="14.4" x14ac:dyDescent="0.3">
      <c r="B50" s="75" t="s">
        <v>360</v>
      </c>
      <c r="C50" s="71">
        <f>C47/C44</f>
        <v>3.1797416058798031E-2</v>
      </c>
      <c r="D50" s="71">
        <f>D47/D44</f>
        <v>4.4787230011367939E-2</v>
      </c>
      <c r="E50" s="91" t="s">
        <v>373</v>
      </c>
      <c r="F50" s="54"/>
      <c r="G50" s="54"/>
      <c r="H50" s="54"/>
      <c r="I50" s="54"/>
      <c r="J50" s="54"/>
      <c r="K50" s="54"/>
    </row>
    <row r="52" spans="2:12" ht="13.2" x14ac:dyDescent="0.25">
      <c r="G52" s="2"/>
      <c r="H52" s="2"/>
      <c r="I52" s="222">
        <v>2021</v>
      </c>
      <c r="J52" s="2"/>
      <c r="K52" s="222">
        <v>2020</v>
      </c>
    </row>
    <row r="53" spans="2:12" ht="13.2" x14ac:dyDescent="0.25">
      <c r="G53" s="2"/>
      <c r="H53" s="2"/>
      <c r="I53" s="2"/>
      <c r="J53" s="2"/>
      <c r="K53" s="2"/>
    </row>
    <row r="54" spans="2:12" ht="13.2" x14ac:dyDescent="0.25">
      <c r="G54" s="2"/>
      <c r="H54" s="2"/>
      <c r="I54" s="2"/>
      <c r="J54" s="2"/>
      <c r="K54" s="2"/>
    </row>
    <row r="55" spans="2:12" ht="15.6" x14ac:dyDescent="0.25">
      <c r="B55" s="227" t="s">
        <v>402</v>
      </c>
      <c r="C55" s="228"/>
      <c r="D55" s="228"/>
      <c r="G55" s="223" t="s">
        <v>401</v>
      </c>
      <c r="H55" s="223"/>
      <c r="I55" s="223">
        <f>I62-I68</f>
        <v>-135.5</v>
      </c>
      <c r="J55" s="223"/>
      <c r="K55" s="223">
        <f>I68-I74</f>
        <v>18</v>
      </c>
    </row>
    <row r="56" spans="2:12" ht="13.2" x14ac:dyDescent="0.25">
      <c r="G56" s="2"/>
      <c r="H56" s="2"/>
      <c r="I56" s="2"/>
      <c r="J56" s="2"/>
      <c r="K56" s="2"/>
    </row>
    <row r="57" spans="2:12" ht="13.2" x14ac:dyDescent="0.25">
      <c r="G57" s="2" t="s">
        <v>370</v>
      </c>
      <c r="H57" s="2"/>
      <c r="I57" s="2"/>
      <c r="J57" s="2"/>
      <c r="K57" s="2"/>
      <c r="L57" s="2"/>
    </row>
    <row r="58" spans="2:12" ht="13.8" x14ac:dyDescent="0.25">
      <c r="B58" s="80" t="s">
        <v>311</v>
      </c>
      <c r="C58" s="81">
        <v>2020</v>
      </c>
      <c r="D58" s="81">
        <v>2021</v>
      </c>
      <c r="G58" s="2"/>
      <c r="H58" s="2"/>
      <c r="I58" s="2"/>
      <c r="J58" s="2"/>
      <c r="K58" s="2"/>
      <c r="L58" s="2"/>
    </row>
    <row r="59" spans="2:12" ht="13.8" x14ac:dyDescent="0.25">
      <c r="B59" s="2"/>
      <c r="C59" s="212"/>
      <c r="D59" s="212"/>
      <c r="G59" s="2"/>
      <c r="H59" s="2"/>
      <c r="I59" s="226">
        <v>2021</v>
      </c>
      <c r="J59" s="226"/>
      <c r="K59" s="226"/>
      <c r="L59" s="2"/>
    </row>
    <row r="60" spans="2:12" ht="13.8" x14ac:dyDescent="0.25">
      <c r="B60" s="2"/>
      <c r="C60" s="212"/>
      <c r="D60" s="212"/>
      <c r="G60" s="2"/>
      <c r="H60" s="2"/>
      <c r="I60" s="2"/>
      <c r="J60" s="2"/>
      <c r="K60" s="2"/>
      <c r="L60" s="2"/>
    </row>
    <row r="61" spans="2:12" ht="13.8" x14ac:dyDescent="0.25">
      <c r="B61" s="213" t="s">
        <v>339</v>
      </c>
      <c r="C61" s="214">
        <f>(I68+I74)/2</f>
        <v>2039</v>
      </c>
      <c r="D61" s="214">
        <f>(I62+I68)/2</f>
        <v>1980.25</v>
      </c>
      <c r="G61" s="2"/>
      <c r="H61" s="2"/>
      <c r="I61" s="49" t="s">
        <v>312</v>
      </c>
      <c r="J61" s="49" t="s">
        <v>313</v>
      </c>
      <c r="K61" s="49" t="s">
        <v>314</v>
      </c>
      <c r="L61" s="2"/>
    </row>
    <row r="62" spans="2:12" ht="13.8" x14ac:dyDescent="0.25">
      <c r="B62" s="215" t="s">
        <v>2</v>
      </c>
      <c r="C62" s="214">
        <f>'Compte de résultat '!C11</f>
        <v>54219.5</v>
      </c>
      <c r="D62" s="214">
        <f>'Compte de résultat '!D11</f>
        <v>52780</v>
      </c>
      <c r="G62" s="6" t="s">
        <v>29</v>
      </c>
      <c r="H62" s="2"/>
      <c r="I62" s="49">
        <v>1912.5</v>
      </c>
      <c r="J62" s="49">
        <v>155</v>
      </c>
      <c r="K62" s="49">
        <f>I62-J62</f>
        <v>1757.5</v>
      </c>
      <c r="L62" s="2"/>
    </row>
    <row r="63" spans="2:12" ht="13.8" x14ac:dyDescent="0.25">
      <c r="B63" s="58" t="s">
        <v>315</v>
      </c>
      <c r="C63" s="216">
        <f>C62/C61</f>
        <v>26.591221186856302</v>
      </c>
      <c r="D63" s="216">
        <f>D62/D61</f>
        <v>26.653200353490721</v>
      </c>
      <c r="G63" s="2"/>
      <c r="H63" s="2"/>
      <c r="I63" s="49"/>
      <c r="J63" s="49"/>
      <c r="K63" s="49"/>
      <c r="L63" s="2"/>
    </row>
    <row r="64" spans="2:12" ht="13.8" x14ac:dyDescent="0.25">
      <c r="B64" s="59"/>
      <c r="C64" s="214"/>
      <c r="D64" s="214"/>
      <c r="G64" s="2"/>
      <c r="H64" s="2"/>
      <c r="I64" s="49"/>
      <c r="J64" s="49"/>
      <c r="K64" s="49"/>
      <c r="L64" s="2"/>
    </row>
    <row r="65" spans="2:12" ht="26.4" x14ac:dyDescent="0.25">
      <c r="B65" s="57" t="s">
        <v>361</v>
      </c>
      <c r="C65" s="214"/>
      <c r="D65" s="214"/>
      <c r="G65" s="2"/>
      <c r="H65" s="2"/>
      <c r="I65" s="49"/>
      <c r="J65" s="49"/>
      <c r="K65" s="49"/>
      <c r="L65" s="2"/>
    </row>
    <row r="66" spans="2:12" ht="13.8" x14ac:dyDescent="0.25">
      <c r="B66" s="2" t="s">
        <v>377</v>
      </c>
      <c r="C66" s="214"/>
      <c r="D66" s="214"/>
      <c r="G66" s="2"/>
      <c r="H66" s="2"/>
      <c r="I66" s="226">
        <v>2020</v>
      </c>
      <c r="J66" s="226"/>
      <c r="K66" s="226"/>
      <c r="L66" s="2"/>
    </row>
    <row r="67" spans="2:12" ht="13.8" x14ac:dyDescent="0.25">
      <c r="B67" s="79" t="s">
        <v>316</v>
      </c>
      <c r="C67" s="216">
        <f>(C61/C62)*365</f>
        <v>13.726334621307833</v>
      </c>
      <c r="D67" s="216">
        <f>(D61/D62)*365</f>
        <v>13.694415498294809</v>
      </c>
      <c r="G67" s="2"/>
      <c r="H67" s="2"/>
      <c r="I67" s="49" t="s">
        <v>312</v>
      </c>
      <c r="J67" s="49" t="s">
        <v>313</v>
      </c>
      <c r="K67" s="49" t="s">
        <v>314</v>
      </c>
      <c r="L67" s="2"/>
    </row>
    <row r="68" spans="2:12" ht="13.8" x14ac:dyDescent="0.25">
      <c r="B68" s="57" t="s">
        <v>397</v>
      </c>
      <c r="C68" s="212"/>
      <c r="D68" s="212"/>
      <c r="G68" s="6" t="s">
        <v>29</v>
      </c>
      <c r="H68" s="2"/>
      <c r="I68" s="49">
        <v>2048</v>
      </c>
      <c r="J68" s="49">
        <v>172</v>
      </c>
      <c r="K68" s="49">
        <f>I68-J68</f>
        <v>1876</v>
      </c>
      <c r="L68" s="2"/>
    </row>
    <row r="69" spans="2:12" ht="13.8" x14ac:dyDescent="0.25">
      <c r="B69" s="2" t="s">
        <v>376</v>
      </c>
      <c r="C69" s="212"/>
      <c r="D69" s="212"/>
      <c r="G69" s="2"/>
      <c r="H69" s="2"/>
      <c r="I69" s="2"/>
      <c r="J69" s="2"/>
      <c r="K69" s="2"/>
      <c r="L69" s="2"/>
    </row>
    <row r="70" spans="2:12" ht="13.2" x14ac:dyDescent="0.25">
      <c r="B70" s="2"/>
      <c r="C70" s="217"/>
      <c r="D70" s="217"/>
    </row>
    <row r="71" spans="2:12" ht="13.2" x14ac:dyDescent="0.25">
      <c r="B71" s="2"/>
      <c r="C71" s="217"/>
      <c r="D71" s="217"/>
    </row>
    <row r="72" spans="2:12" ht="13.2" x14ac:dyDescent="0.25">
      <c r="B72" s="2"/>
      <c r="C72" s="217"/>
      <c r="D72" s="217"/>
      <c r="G72" s="2"/>
      <c r="H72" s="2"/>
      <c r="I72" s="226">
        <v>2019</v>
      </c>
      <c r="J72" s="226"/>
      <c r="K72" s="226"/>
    </row>
    <row r="73" spans="2:12" ht="13.8" x14ac:dyDescent="0.25">
      <c r="B73" s="79" t="s">
        <v>362</v>
      </c>
      <c r="C73" s="216">
        <f>(I68/('Compte de résultat '!C19+'Compte de résultat '!C20))*360</f>
        <v>17.076149463556266</v>
      </c>
      <c r="D73" s="216">
        <f>I68/('Compte de résultat '!D19+'Compte de résultat '!D20)*360</f>
        <v>18.284798231834618</v>
      </c>
      <c r="G73" s="2"/>
      <c r="H73" s="2"/>
      <c r="I73" s="49" t="s">
        <v>312</v>
      </c>
      <c r="J73" s="49" t="s">
        <v>313</v>
      </c>
      <c r="K73" s="49" t="s">
        <v>314</v>
      </c>
    </row>
    <row r="74" spans="2:12" ht="26.4" x14ac:dyDescent="0.25">
      <c r="B74" s="60" t="s">
        <v>317</v>
      </c>
      <c r="C74" s="2"/>
      <c r="D74" s="2"/>
      <c r="G74" s="6" t="s">
        <v>29</v>
      </c>
      <c r="H74" s="2"/>
      <c r="I74" s="49">
        <v>2030</v>
      </c>
      <c r="J74" s="49">
        <v>220</v>
      </c>
      <c r="K74" s="49">
        <f>I74-J74</f>
        <v>1810</v>
      </c>
    </row>
    <row r="75" spans="2:12" ht="13.2" x14ac:dyDescent="0.25">
      <c r="B75" s="57" t="s">
        <v>363</v>
      </c>
      <c r="C75" s="2"/>
      <c r="D75" s="2"/>
    </row>
    <row r="76" spans="2:12" ht="13.2" x14ac:dyDescent="0.25">
      <c r="B76" s="60" t="s">
        <v>337</v>
      </c>
      <c r="C76" s="2"/>
      <c r="D76" s="2"/>
    </row>
    <row r="77" spans="2:12" ht="13.2" x14ac:dyDescent="0.25">
      <c r="B77" s="2"/>
      <c r="C77" s="2"/>
      <c r="D77" s="2"/>
    </row>
    <row r="78" spans="2:12" ht="13.2" x14ac:dyDescent="0.25">
      <c r="B78" s="2"/>
      <c r="C78" s="2"/>
      <c r="D78" s="2"/>
    </row>
    <row r="79" spans="2:12" ht="13.2" x14ac:dyDescent="0.25">
      <c r="B79" s="2"/>
      <c r="C79" s="2"/>
      <c r="D79" s="2"/>
      <c r="K79" t="s">
        <v>396</v>
      </c>
    </row>
    <row r="80" spans="2:12" ht="15.6" x14ac:dyDescent="0.2">
      <c r="B80" s="227" t="s">
        <v>318</v>
      </c>
      <c r="C80" s="228"/>
      <c r="D80" s="228"/>
    </row>
    <row r="81" spans="2:6" ht="13.2" x14ac:dyDescent="0.25">
      <c r="B81" s="2"/>
      <c r="C81" s="2"/>
      <c r="D81" s="2"/>
    </row>
    <row r="82" spans="2:6" ht="13.8" x14ac:dyDescent="0.25">
      <c r="B82" s="80" t="s">
        <v>311</v>
      </c>
      <c r="C82" s="81">
        <v>2020</v>
      </c>
      <c r="D82" s="81">
        <v>2021</v>
      </c>
    </row>
    <row r="83" spans="2:6" ht="13.2" x14ac:dyDescent="0.25">
      <c r="B83" s="2"/>
      <c r="C83" s="2"/>
      <c r="D83" s="2"/>
    </row>
    <row r="84" spans="2:6" ht="13.8" x14ac:dyDescent="0.25">
      <c r="B84" s="69" t="s">
        <v>319</v>
      </c>
      <c r="C84" s="218">
        <f>PASSIF!C38/(('Compte de résultat '!C19+'Compte de résultat '!C21+'Compte de résultat '!C22+'Compte de résultat '!C23)*1.2)*360</f>
        <v>18.220581905161765</v>
      </c>
      <c r="D84" s="218">
        <f>PASSIF!D38/(('Compte de résultat '!D19+'Compte de résultat '!D21+'Compte de résultat '!D23)*1.2)*360</f>
        <v>20.933820358298412</v>
      </c>
      <c r="F84" s="78" t="s">
        <v>365</v>
      </c>
    </row>
    <row r="85" spans="2:6" ht="13.2" x14ac:dyDescent="0.25">
      <c r="B85" s="57" t="s">
        <v>346</v>
      </c>
      <c r="C85" s="89"/>
      <c r="D85" s="89"/>
      <c r="F85" s="2" t="s">
        <v>364</v>
      </c>
    </row>
    <row r="86" spans="2:6" ht="13.2" x14ac:dyDescent="0.25">
      <c r="B86" s="2"/>
      <c r="C86" s="89"/>
      <c r="D86" s="89"/>
    </row>
    <row r="87" spans="2:6" ht="13.2" x14ac:dyDescent="0.25">
      <c r="B87" s="2"/>
      <c r="C87" s="89"/>
      <c r="D87" s="89"/>
    </row>
    <row r="88" spans="2:6" ht="13.8" x14ac:dyDescent="0.25">
      <c r="B88" s="69" t="s">
        <v>320</v>
      </c>
      <c r="C88" s="219">
        <f>ACTIF!C41/('Compte de résultat '!C11*1.2)*360</f>
        <v>0.5647045804553712</v>
      </c>
      <c r="D88" s="219">
        <f>ACTIF!D41/('Compte de résultat '!D11*1.2)*360</f>
        <v>0.61915498294808646</v>
      </c>
      <c r="F88" s="78" t="s">
        <v>366</v>
      </c>
    </row>
    <row r="89" spans="2:6" ht="13.2" x14ac:dyDescent="0.25">
      <c r="B89" s="57" t="s">
        <v>347</v>
      </c>
      <c r="C89" s="2"/>
      <c r="D89" s="2"/>
    </row>
    <row r="90" spans="2:6" ht="13.2" x14ac:dyDescent="0.25">
      <c r="B90" s="2"/>
      <c r="C90" s="2"/>
      <c r="D90" s="2"/>
    </row>
    <row r="91" spans="2:6" ht="13.2" x14ac:dyDescent="0.25">
      <c r="B91" s="2"/>
      <c r="C91" s="2"/>
      <c r="D91" s="2"/>
    </row>
    <row r="92" spans="2:6" ht="13.2" x14ac:dyDescent="0.25">
      <c r="B92" s="2"/>
      <c r="C92" s="2"/>
      <c r="D92" s="2"/>
    </row>
    <row r="93" spans="2:6" ht="13.2" x14ac:dyDescent="0.25">
      <c r="B93" s="2"/>
      <c r="C93" s="2"/>
      <c r="D93" s="2"/>
    </row>
    <row r="94" spans="2:6" ht="15.6" x14ac:dyDescent="0.2">
      <c r="B94" s="227" t="s">
        <v>322</v>
      </c>
      <c r="C94" s="228"/>
      <c r="D94" s="228"/>
    </row>
    <row r="95" spans="2:6" ht="13.2" x14ac:dyDescent="0.25">
      <c r="B95" s="2"/>
      <c r="C95" s="2"/>
      <c r="D95" s="2"/>
    </row>
    <row r="96" spans="2:6" ht="13.8" x14ac:dyDescent="0.25">
      <c r="B96" s="80" t="s">
        <v>311</v>
      </c>
      <c r="C96" s="81">
        <v>2020</v>
      </c>
      <c r="D96" s="81">
        <v>2021</v>
      </c>
    </row>
    <row r="97" spans="2:10" ht="13.2" x14ac:dyDescent="0.25">
      <c r="B97" s="2"/>
      <c r="C97" s="2"/>
      <c r="D97" s="2"/>
    </row>
    <row r="98" spans="2:10" ht="13.8" x14ac:dyDescent="0.25">
      <c r="B98" s="2" t="s">
        <v>325</v>
      </c>
      <c r="C98" s="220">
        <f>PASSIF!C20</f>
        <v>6647.2</v>
      </c>
      <c r="D98" s="220">
        <f>PASSIF!D20</f>
        <v>6011.73</v>
      </c>
    </row>
    <row r="99" spans="2:10" ht="13.8" x14ac:dyDescent="0.25">
      <c r="B99" s="2" t="s">
        <v>326</v>
      </c>
      <c r="C99" s="220">
        <f>PASSIF!C48</f>
        <v>16167.53</v>
      </c>
      <c r="D99" s="220">
        <f>PASSIF!D48</f>
        <v>15366.46</v>
      </c>
    </row>
    <row r="100" spans="2:10" ht="13.2" x14ac:dyDescent="0.25">
      <c r="B100" s="2"/>
      <c r="C100" s="2"/>
      <c r="D100" s="2"/>
      <c r="F100" s="57"/>
    </row>
    <row r="101" spans="2:10" ht="13.2" x14ac:dyDescent="0.25">
      <c r="B101" s="69" t="s">
        <v>323</v>
      </c>
      <c r="C101" s="76">
        <f>C98/C99</f>
        <v>0.41114505431565612</v>
      </c>
      <c r="D101" s="76">
        <f>D98/D99</f>
        <v>0.39122413360006142</v>
      </c>
      <c r="F101" s="225" t="s">
        <v>343</v>
      </c>
      <c r="G101" s="225"/>
      <c r="H101" s="225"/>
      <c r="I101" s="225"/>
    </row>
    <row r="102" spans="2:10" ht="13.2" x14ac:dyDescent="0.25">
      <c r="B102" s="57" t="s">
        <v>324</v>
      </c>
      <c r="C102" s="2"/>
      <c r="D102" s="2"/>
    </row>
    <row r="103" spans="2:10" ht="13.2" x14ac:dyDescent="0.25">
      <c r="B103" s="2"/>
      <c r="C103" s="2"/>
      <c r="D103" s="2"/>
    </row>
    <row r="104" spans="2:10" ht="13.2" x14ac:dyDescent="0.25">
      <c r="B104" s="2"/>
      <c r="C104" s="2"/>
      <c r="D104" s="2"/>
    </row>
    <row r="105" spans="2:10" ht="13.8" x14ac:dyDescent="0.25">
      <c r="B105" s="2" t="s">
        <v>329</v>
      </c>
      <c r="C105" s="220">
        <f>PASSIF!C34+PASSIF!C35+PASSIF!C36</f>
        <v>4944.43</v>
      </c>
      <c r="D105" s="220">
        <f>PASSIF!D34+PASSIF!D35+PASSIF!D36</f>
        <v>4361</v>
      </c>
    </row>
    <row r="106" spans="2:10" ht="13.8" x14ac:dyDescent="0.25">
      <c r="B106" s="2" t="s">
        <v>399</v>
      </c>
      <c r="C106" s="220">
        <f>ACTIF!C45+ACTIF!C46</f>
        <v>6217.1900000000005</v>
      </c>
      <c r="D106" s="220">
        <f>ACTIF!D45+ACTIF!D46</f>
        <v>6420.49</v>
      </c>
    </row>
    <row r="107" spans="2:10" ht="13.8" x14ac:dyDescent="0.25">
      <c r="B107" s="2" t="s">
        <v>336</v>
      </c>
      <c r="C107" s="221">
        <f>C105-C106</f>
        <v>-1272.7600000000002</v>
      </c>
      <c r="D107" s="221">
        <f>D105-D106</f>
        <v>-2059.4899999999998</v>
      </c>
      <c r="F107" s="225" t="s">
        <v>341</v>
      </c>
      <c r="G107" s="225"/>
      <c r="H107" s="225"/>
      <c r="I107" s="225"/>
    </row>
    <row r="108" spans="2:10" ht="13.2" x14ac:dyDescent="0.25">
      <c r="B108" s="2"/>
      <c r="C108" s="2"/>
      <c r="D108" s="2"/>
    </row>
    <row r="109" spans="2:10" ht="13.2" x14ac:dyDescent="0.25">
      <c r="B109" s="69" t="s">
        <v>327</v>
      </c>
      <c r="C109" s="76">
        <f>C107/C98</f>
        <v>-0.19147310145625229</v>
      </c>
      <c r="D109" s="76">
        <f>D107/D98</f>
        <v>-0.34257859218561043</v>
      </c>
    </row>
    <row r="110" spans="2:10" ht="13.2" x14ac:dyDescent="0.25">
      <c r="B110" s="57" t="s">
        <v>328</v>
      </c>
      <c r="C110" s="2"/>
      <c r="D110" s="2"/>
      <c r="H110" s="2"/>
      <c r="I110" s="2">
        <v>2020</v>
      </c>
      <c r="J110" s="2">
        <v>2021</v>
      </c>
    </row>
    <row r="111" spans="2:10" ht="13.2" x14ac:dyDescent="0.25">
      <c r="B111" s="2"/>
      <c r="C111" s="2"/>
      <c r="D111" s="2"/>
      <c r="H111" s="2"/>
      <c r="I111" s="2"/>
      <c r="J111" s="2"/>
    </row>
    <row r="112" spans="2:10" ht="13.2" x14ac:dyDescent="0.25">
      <c r="B112" s="2"/>
      <c r="C112" s="2"/>
      <c r="D112" s="2"/>
      <c r="H112" s="2" t="s">
        <v>335</v>
      </c>
      <c r="I112" s="2">
        <f>PASSIF!C34</f>
        <v>3891</v>
      </c>
      <c r="J112" s="2">
        <f>PASSIF!D34</f>
        <v>3292</v>
      </c>
    </row>
    <row r="113" spans="2:10" ht="13.2" x14ac:dyDescent="0.25">
      <c r="B113" s="2"/>
      <c r="C113" s="2"/>
      <c r="D113" s="2"/>
      <c r="H113" s="2" t="s">
        <v>332</v>
      </c>
      <c r="I113" s="2">
        <v>459</v>
      </c>
      <c r="J113" s="2">
        <v>460</v>
      </c>
    </row>
    <row r="114" spans="2:10" ht="13.8" x14ac:dyDescent="0.25">
      <c r="B114" s="2" t="s">
        <v>306</v>
      </c>
      <c r="C114" s="220">
        <f>C37</f>
        <v>3367.5299999999997</v>
      </c>
      <c r="D114" s="220">
        <f>D37</f>
        <v>2711.7299999999996</v>
      </c>
      <c r="H114" s="2" t="s">
        <v>333</v>
      </c>
      <c r="I114" s="2">
        <f>I112-I113</f>
        <v>3432</v>
      </c>
      <c r="J114" s="2">
        <f>J112-J113</f>
        <v>2832</v>
      </c>
    </row>
    <row r="115" spans="2:10" ht="13.8" x14ac:dyDescent="0.25">
      <c r="B115" s="2" t="s">
        <v>334</v>
      </c>
      <c r="C115" s="220">
        <f>I114</f>
        <v>3432</v>
      </c>
      <c r="D115" s="220">
        <f>J114</f>
        <v>2832</v>
      </c>
    </row>
    <row r="116" spans="2:10" ht="13.2" x14ac:dyDescent="0.25">
      <c r="B116" s="2"/>
      <c r="C116" s="2"/>
      <c r="D116" s="2"/>
    </row>
    <row r="117" spans="2:10" ht="13.8" x14ac:dyDescent="0.2">
      <c r="B117" s="69" t="s">
        <v>330</v>
      </c>
      <c r="C117" s="77">
        <f>C115/C114</f>
        <v>1.0191445955938032</v>
      </c>
      <c r="D117" s="77">
        <f>D115/D114</f>
        <v>1.044351760684139</v>
      </c>
      <c r="F117" s="225" t="s">
        <v>342</v>
      </c>
      <c r="G117" s="225"/>
      <c r="H117" s="225"/>
      <c r="I117" s="225"/>
    </row>
    <row r="118" spans="2:10" ht="13.2" x14ac:dyDescent="0.25">
      <c r="B118" s="57" t="s">
        <v>331</v>
      </c>
      <c r="C118" s="2"/>
      <c r="D118" s="2"/>
    </row>
  </sheetData>
  <mergeCells count="12">
    <mergeCell ref="B22:D22"/>
    <mergeCell ref="B1:D1"/>
    <mergeCell ref="B41:D41"/>
    <mergeCell ref="B55:D55"/>
    <mergeCell ref="I59:K59"/>
    <mergeCell ref="F117:I117"/>
    <mergeCell ref="I66:K66"/>
    <mergeCell ref="I72:K72"/>
    <mergeCell ref="B80:D80"/>
    <mergeCell ref="B94:D94"/>
    <mergeCell ref="F101:I101"/>
    <mergeCell ref="F107:I107"/>
  </mergeCells>
  <hyperlinks>
    <hyperlink ref="F84" r:id="rId1" xr:uid="{00000000-0004-0000-0600-000000000000}"/>
    <hyperlink ref="F88" r:id="rId2" xr:uid="{00000000-0004-0000-0600-000001000000}"/>
  </hyperlinks>
  <pageMargins left="0.7" right="0.7" top="0.75" bottom="0.75" header="0.3" footer="0.3"/>
  <pageSetup paperSize="9" orientation="portrait" horizontalDpi="4294967294" verticalDpi="4294967294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theme="6" tint="-0.249977111117893"/>
    <pageSetUpPr fitToPage="1"/>
  </sheetPr>
  <dimension ref="A1:F57"/>
  <sheetViews>
    <sheetView topLeftCell="A4" zoomScale="75" workbookViewId="0">
      <selection activeCell="F10" sqref="F10"/>
    </sheetView>
  </sheetViews>
  <sheetFormatPr baseColWidth="10" defaultColWidth="11.44140625" defaultRowHeight="13.2" x14ac:dyDescent="0.25"/>
  <cols>
    <col min="1" max="1" width="30.21875" style="2" customWidth="1"/>
    <col min="2" max="2" width="18.21875" style="2" customWidth="1"/>
    <col min="3" max="3" width="12.21875" style="42" customWidth="1"/>
    <col min="4" max="4" width="15.33203125" style="2" customWidth="1"/>
    <col min="5" max="5" width="6.6640625" style="42" bestFit="1" customWidth="1"/>
    <col min="6" max="6" width="18.6640625" style="42" customWidth="1"/>
    <col min="7" max="16384" width="11.44140625" style="2"/>
  </cols>
  <sheetData>
    <row r="1" spans="1:6" ht="17.399999999999999" x14ac:dyDescent="0.3">
      <c r="A1" s="154"/>
      <c r="B1" s="105"/>
      <c r="C1" s="178"/>
      <c r="D1" s="105"/>
      <c r="E1" s="179"/>
      <c r="F1" s="178"/>
    </row>
    <row r="2" spans="1:6" ht="17.399999999999999" x14ac:dyDescent="0.3">
      <c r="A2" s="106" t="s">
        <v>224</v>
      </c>
      <c r="B2" s="107"/>
      <c r="C2" s="180"/>
      <c r="D2" s="107"/>
      <c r="E2" s="180"/>
      <c r="F2" s="180"/>
    </row>
    <row r="3" spans="1:6" ht="17.399999999999999" x14ac:dyDescent="0.3">
      <c r="A3" s="108"/>
      <c r="B3" s="105"/>
      <c r="C3" s="178"/>
      <c r="D3" s="105"/>
      <c r="E3" s="178"/>
      <c r="F3" s="178"/>
    </row>
    <row r="4" spans="1:6" ht="17.399999999999999" x14ac:dyDescent="0.3">
      <c r="A4" s="181"/>
      <c r="B4" s="182"/>
      <c r="C4" s="183"/>
      <c r="D4" s="182"/>
      <c r="E4" s="183"/>
      <c r="F4" s="229" t="s">
        <v>340</v>
      </c>
    </row>
    <row r="5" spans="1:6" ht="17.399999999999999" x14ac:dyDescent="0.3">
      <c r="A5" s="184"/>
      <c r="B5" s="185">
        <v>44196</v>
      </c>
      <c r="C5" s="186" t="s">
        <v>223</v>
      </c>
      <c r="D5" s="185">
        <v>44561</v>
      </c>
      <c r="E5" s="186" t="s">
        <v>223</v>
      </c>
      <c r="F5" s="230"/>
    </row>
    <row r="6" spans="1:6" ht="17.399999999999999" x14ac:dyDescent="0.3">
      <c r="A6" s="187"/>
      <c r="B6" s="188"/>
      <c r="C6" s="189"/>
      <c r="D6" s="188"/>
      <c r="E6" s="189"/>
      <c r="F6" s="231"/>
    </row>
    <row r="7" spans="1:6" ht="17.399999999999999" x14ac:dyDescent="0.3">
      <c r="A7" s="119" t="s">
        <v>225</v>
      </c>
      <c r="B7" s="190">
        <f>'Compte de résultat '!C8</f>
        <v>53412.15</v>
      </c>
      <c r="C7" s="191"/>
      <c r="D7" s="190">
        <f>'Compte de résultat '!D8</f>
        <v>51969.599999999999</v>
      </c>
      <c r="E7" s="191"/>
      <c r="F7" s="191"/>
    </row>
    <row r="8" spans="1:6" ht="17.399999999999999" x14ac:dyDescent="0.3">
      <c r="A8" s="122" t="s">
        <v>226</v>
      </c>
      <c r="B8" s="192">
        <f>'Compte de résultat '!C9+'Compte de résultat '!C10</f>
        <v>807.35</v>
      </c>
      <c r="C8" s="193"/>
      <c r="D8" s="192">
        <f>'Compte de résultat '!D9+'Compte de résultat '!D10</f>
        <v>810.4</v>
      </c>
      <c r="E8" s="193"/>
      <c r="F8" s="193"/>
    </row>
    <row r="9" spans="1:6" ht="17.399999999999999" x14ac:dyDescent="0.3">
      <c r="A9" s="194"/>
      <c r="B9" s="195"/>
      <c r="C9" s="196"/>
      <c r="D9" s="195"/>
      <c r="E9" s="196"/>
      <c r="F9" s="196"/>
    </row>
    <row r="10" spans="1:6" ht="17.399999999999999" x14ac:dyDescent="0.3">
      <c r="A10" s="197" t="s">
        <v>227</v>
      </c>
      <c r="B10" s="198">
        <f>B7+B8</f>
        <v>54219.5</v>
      </c>
      <c r="C10" s="199"/>
      <c r="D10" s="198">
        <f>D7+D8</f>
        <v>52780</v>
      </c>
      <c r="E10" s="199"/>
      <c r="F10" s="199">
        <f>IF(B10=0,0,(D10-B10)*100/B10)</f>
        <v>-2.6549488652606534</v>
      </c>
    </row>
    <row r="11" spans="1:6" ht="17.399999999999999" x14ac:dyDescent="0.3">
      <c r="A11" s="133"/>
      <c r="B11" s="200"/>
      <c r="C11" s="201"/>
      <c r="D11" s="200"/>
      <c r="E11" s="201"/>
      <c r="F11" s="201"/>
    </row>
    <row r="12" spans="1:6" ht="17.399999999999999" x14ac:dyDescent="0.3">
      <c r="A12" s="122" t="s">
        <v>226</v>
      </c>
      <c r="B12" s="192">
        <f>B8</f>
        <v>807.35</v>
      </c>
      <c r="C12" s="193"/>
      <c r="D12" s="192">
        <f>D8</f>
        <v>810.4</v>
      </c>
      <c r="E12" s="193"/>
      <c r="F12" s="193"/>
    </row>
    <row r="13" spans="1:6" ht="17.399999999999999" x14ac:dyDescent="0.3">
      <c r="A13" s="122" t="s">
        <v>228</v>
      </c>
      <c r="B13" s="192">
        <f>'Compte de résultat '!C12</f>
        <v>0</v>
      </c>
      <c r="C13" s="193"/>
      <c r="D13" s="192">
        <f>'Compte de résultat '!D12</f>
        <v>0</v>
      </c>
      <c r="E13" s="193"/>
      <c r="F13" s="193"/>
    </row>
    <row r="14" spans="1:6" ht="17.399999999999999" x14ac:dyDescent="0.3">
      <c r="A14" s="122" t="s">
        <v>229</v>
      </c>
      <c r="B14" s="192">
        <f>'Compte de résultat '!C13</f>
        <v>0</v>
      </c>
      <c r="C14" s="193"/>
      <c r="D14" s="192">
        <f>'Compte de résultat '!D13</f>
        <v>0</v>
      </c>
      <c r="E14" s="193"/>
      <c r="F14" s="193"/>
    </row>
    <row r="15" spans="1:6" ht="17.399999999999999" x14ac:dyDescent="0.3">
      <c r="A15" s="194"/>
      <c r="B15" s="202"/>
      <c r="C15" s="196"/>
      <c r="D15" s="202"/>
      <c r="E15" s="196"/>
      <c r="F15" s="196"/>
    </row>
    <row r="16" spans="1:6" ht="17.399999999999999" x14ac:dyDescent="0.3">
      <c r="A16" s="197" t="s">
        <v>230</v>
      </c>
      <c r="B16" s="203">
        <f>SUM(B12:B14)</f>
        <v>807.35</v>
      </c>
      <c r="C16" s="199">
        <f>IF(B16=0,0,+B16*100/B$10)</f>
        <v>1.4890399210616108</v>
      </c>
      <c r="D16" s="203">
        <f>SUM(D12:D14)</f>
        <v>810.4</v>
      </c>
      <c r="E16" s="199">
        <f>IF(D16=0,0,+D16*100/D$10)</f>
        <v>1.535430087154225</v>
      </c>
      <c r="F16" s="199">
        <f>IF(B16=0,0,(D16-B16)*100/B16)</f>
        <v>0.37777915402241335</v>
      </c>
    </row>
    <row r="17" spans="1:6" ht="17.399999999999999" x14ac:dyDescent="0.3">
      <c r="A17" s="133"/>
      <c r="B17" s="200"/>
      <c r="C17" s="201"/>
      <c r="D17" s="200"/>
      <c r="E17" s="201"/>
      <c r="F17" s="201"/>
    </row>
    <row r="18" spans="1:6" ht="17.399999999999999" x14ac:dyDescent="0.3">
      <c r="A18" s="122" t="s">
        <v>225</v>
      </c>
      <c r="B18" s="192">
        <f>B7</f>
        <v>53412.15</v>
      </c>
      <c r="C18" s="193"/>
      <c r="D18" s="192">
        <f>D7</f>
        <v>51969.599999999999</v>
      </c>
      <c r="E18" s="193"/>
      <c r="F18" s="193"/>
    </row>
    <row r="19" spans="1:6" ht="17.399999999999999" x14ac:dyDescent="0.3">
      <c r="A19" s="122" t="s">
        <v>231</v>
      </c>
      <c r="B19" s="192">
        <f>'Compte de résultat '!C19+'Compte de résultat '!C20</f>
        <v>43176.01</v>
      </c>
      <c r="C19" s="193"/>
      <c r="D19" s="192">
        <f>'Compte de résultat '!D19+'Compte de résultat '!D20</f>
        <v>40322.019999999997</v>
      </c>
      <c r="E19" s="193"/>
      <c r="F19" s="193"/>
    </row>
    <row r="20" spans="1:6" ht="17.399999999999999" x14ac:dyDescent="0.3">
      <c r="A20" s="194"/>
      <c r="B20" s="202"/>
      <c r="C20" s="196"/>
      <c r="D20" s="202"/>
      <c r="E20" s="196"/>
      <c r="F20" s="196"/>
    </row>
    <row r="21" spans="1:6" ht="17.399999999999999" x14ac:dyDescent="0.3">
      <c r="A21" s="197" t="s">
        <v>232</v>
      </c>
      <c r="B21" s="203">
        <f>B18-B19</f>
        <v>10236.14</v>
      </c>
      <c r="C21" s="199">
        <f>IF(B21=0,0,+B21*100/B$10)</f>
        <v>18.879074871586791</v>
      </c>
      <c r="D21" s="203">
        <f>D18-D19</f>
        <v>11647.580000000002</v>
      </c>
      <c r="E21" s="199">
        <f>IF(D21=0,0,+D21*100/D$10)</f>
        <v>22.068169761273214</v>
      </c>
      <c r="F21" s="199">
        <f>IF(B21=0,0,(D21-B21)*100/B21)</f>
        <v>13.788791478037643</v>
      </c>
    </row>
    <row r="22" spans="1:6" ht="17.399999999999999" x14ac:dyDescent="0.3">
      <c r="A22" s="133"/>
      <c r="B22" s="200"/>
      <c r="C22" s="201"/>
      <c r="D22" s="200"/>
      <c r="E22" s="201"/>
      <c r="F22" s="201"/>
    </row>
    <row r="23" spans="1:6" ht="17.399999999999999" x14ac:dyDescent="0.3">
      <c r="A23" s="122" t="s">
        <v>233</v>
      </c>
      <c r="B23" s="192">
        <f>B16</f>
        <v>807.35</v>
      </c>
      <c r="C23" s="193"/>
      <c r="D23" s="192">
        <f>D16</f>
        <v>810.4</v>
      </c>
      <c r="E23" s="193"/>
      <c r="F23" s="193"/>
    </row>
    <row r="24" spans="1:6" ht="17.399999999999999" x14ac:dyDescent="0.3">
      <c r="A24" s="122" t="s">
        <v>234</v>
      </c>
      <c r="B24" s="192">
        <f>B21</f>
        <v>10236.14</v>
      </c>
      <c r="C24" s="193"/>
      <c r="D24" s="192">
        <f>D21</f>
        <v>11647.580000000002</v>
      </c>
      <c r="E24" s="193"/>
      <c r="F24" s="193"/>
    </row>
    <row r="25" spans="1:6" ht="17.399999999999999" x14ac:dyDescent="0.3">
      <c r="A25" s="122" t="s">
        <v>235</v>
      </c>
      <c r="B25" s="192">
        <f>SUM('Compte de résultat '!C21:C23)-SUM('RES04'!D31:D32)</f>
        <v>3988.86</v>
      </c>
      <c r="C25" s="193"/>
      <c r="D25" s="192">
        <f>SUM('Compte de résultat '!D21:D23)-SUM('RES04'!E31:E32)</f>
        <v>4397.83</v>
      </c>
      <c r="E25" s="193"/>
      <c r="F25" s="193"/>
    </row>
    <row r="26" spans="1:6" ht="17.399999999999999" x14ac:dyDescent="0.3">
      <c r="A26" s="194"/>
      <c r="B26" s="202"/>
      <c r="C26" s="196"/>
      <c r="D26" s="202"/>
      <c r="E26" s="196"/>
      <c r="F26" s="196"/>
    </row>
    <row r="27" spans="1:6" ht="17.399999999999999" x14ac:dyDescent="0.3">
      <c r="A27" s="197" t="s">
        <v>236</v>
      </c>
      <c r="B27" s="203">
        <f>B23+B24-B25</f>
        <v>7054.6299999999992</v>
      </c>
      <c r="C27" s="199">
        <f>IF(B27=0,0,+B27*100/B$10)</f>
        <v>13.011241343059229</v>
      </c>
      <c r="D27" s="203">
        <f>D23+D24-D25</f>
        <v>8060.1500000000015</v>
      </c>
      <c r="E27" s="199">
        <f>IF(D27=0,0,+D27*100/D$10)</f>
        <v>15.271220159151197</v>
      </c>
      <c r="F27" s="199">
        <f>IF(B27=0,0,(D27-B27)*100/B27)</f>
        <v>14.253334335039575</v>
      </c>
    </row>
    <row r="28" spans="1:6" ht="17.399999999999999" x14ac:dyDescent="0.3">
      <c r="A28" s="133"/>
      <c r="B28" s="200"/>
      <c r="C28" s="201"/>
      <c r="D28" s="200"/>
      <c r="E28" s="201"/>
      <c r="F28" s="201"/>
    </row>
    <row r="29" spans="1:6" ht="17.399999999999999" x14ac:dyDescent="0.3">
      <c r="A29" s="122" t="s">
        <v>237</v>
      </c>
      <c r="B29" s="192">
        <f>B27</f>
        <v>7054.6299999999992</v>
      </c>
      <c r="C29" s="193"/>
      <c r="D29" s="192">
        <f>D27</f>
        <v>8060.1500000000015</v>
      </c>
      <c r="E29" s="193"/>
      <c r="F29" s="193"/>
    </row>
    <row r="30" spans="1:6" ht="17.399999999999999" x14ac:dyDescent="0.3">
      <c r="A30" s="122" t="s">
        <v>238</v>
      </c>
      <c r="B30" s="192">
        <f>'Compte de résultat '!C14</f>
        <v>0</v>
      </c>
      <c r="C30" s="193"/>
      <c r="D30" s="192">
        <f>'Compte de résultat '!D14</f>
        <v>0</v>
      </c>
      <c r="E30" s="193"/>
      <c r="F30" s="193"/>
    </row>
    <row r="31" spans="1:6" ht="17.399999999999999" x14ac:dyDescent="0.3">
      <c r="A31" s="122" t="s">
        <v>239</v>
      </c>
      <c r="B31" s="192">
        <f>'Compte de résultat '!C24</f>
        <v>435.92</v>
      </c>
      <c r="C31" s="193"/>
      <c r="D31" s="192">
        <f>'Compte de résultat '!D24</f>
        <v>448.73</v>
      </c>
      <c r="E31" s="193"/>
      <c r="F31" s="193"/>
    </row>
    <row r="32" spans="1:6" ht="17.399999999999999" x14ac:dyDescent="0.3">
      <c r="A32" s="122" t="s">
        <v>240</v>
      </c>
      <c r="B32" s="192">
        <f>'Compte de résultat '!C25+'Compte de résultat '!C26</f>
        <v>3355.33</v>
      </c>
      <c r="C32" s="193"/>
      <c r="D32" s="192">
        <f>'Compte de résultat '!D25+'Compte de résultat '!D26</f>
        <v>3633.63</v>
      </c>
      <c r="E32" s="193"/>
      <c r="F32" s="193"/>
    </row>
    <row r="33" spans="1:6" ht="17.399999999999999" x14ac:dyDescent="0.3">
      <c r="A33" s="194"/>
      <c r="B33" s="202"/>
      <c r="C33" s="196"/>
      <c r="D33" s="202"/>
      <c r="E33" s="196"/>
      <c r="F33" s="196"/>
    </row>
    <row r="34" spans="1:6" ht="17.399999999999999" x14ac:dyDescent="0.3">
      <c r="A34" s="197" t="s">
        <v>241</v>
      </c>
      <c r="B34" s="203">
        <f>B29+B30-B31-B32</f>
        <v>3263.3799999999992</v>
      </c>
      <c r="C34" s="199">
        <f>IF(B34=0,0,+B34*100/B$10)</f>
        <v>6.0188308634347409</v>
      </c>
      <c r="D34" s="203">
        <f>D29+D30-D31-D32</f>
        <v>3977.7900000000018</v>
      </c>
      <c r="E34" s="199">
        <f>IF(D34=0,0,+D34*100/D$10)</f>
        <v>7.5365479348238003</v>
      </c>
      <c r="F34" s="199">
        <f>IF(B34=0,0,(D34-B34)*100/B34)</f>
        <v>21.89171962811572</v>
      </c>
    </row>
    <row r="35" spans="1:6" ht="17.399999999999999" x14ac:dyDescent="0.3">
      <c r="A35" s="133"/>
      <c r="B35" s="200"/>
      <c r="C35" s="201"/>
      <c r="D35" s="200"/>
      <c r="E35" s="201"/>
      <c r="F35" s="201"/>
    </row>
    <row r="36" spans="1:6" ht="17.399999999999999" x14ac:dyDescent="0.3">
      <c r="A36" s="122" t="s">
        <v>242</v>
      </c>
      <c r="B36" s="192">
        <f>B34</f>
        <v>3263.3799999999992</v>
      </c>
      <c r="C36" s="193"/>
      <c r="D36" s="192">
        <f>D34</f>
        <v>3977.7900000000018</v>
      </c>
      <c r="E36" s="193"/>
      <c r="F36" s="193"/>
    </row>
    <row r="37" spans="1:6" ht="17.399999999999999" x14ac:dyDescent="0.3">
      <c r="A37" s="122" t="s">
        <v>243</v>
      </c>
      <c r="B37" s="192">
        <f>-SUM('Compte de résultat '!C27:C30)-2/3*'RES04'!D31-1/2*'RES04'!D32</f>
        <v>-967.42</v>
      </c>
      <c r="C37" s="193"/>
      <c r="D37" s="192">
        <f>-SUM('Compte de résultat '!D27:D30)-2/3*'RES04'!E31-1/2*'RES04'!E32</f>
        <v>-902.51</v>
      </c>
      <c r="E37" s="193"/>
      <c r="F37" s="193"/>
    </row>
    <row r="38" spans="1:6" ht="17.399999999999999" x14ac:dyDescent="0.3">
      <c r="A38" s="122" t="s">
        <v>244</v>
      </c>
      <c r="B38" s="192">
        <f>'Compte de résultat '!C15</f>
        <v>265.45</v>
      </c>
      <c r="C38" s="193"/>
      <c r="D38" s="192">
        <f>'Compte de résultat '!D15</f>
        <v>259.47000000000003</v>
      </c>
      <c r="E38" s="193"/>
      <c r="F38" s="193"/>
    </row>
    <row r="39" spans="1:6" ht="17.399999999999999" x14ac:dyDescent="0.3">
      <c r="A39" s="122" t="s">
        <v>245</v>
      </c>
      <c r="B39" s="192">
        <f>'Compte de résultat '!C16-'Compte de résultat '!C31</f>
        <v>4.5399999999999991</v>
      </c>
      <c r="C39" s="193"/>
      <c r="D39" s="192">
        <f>'Compte de résultat '!D16-'Compte de résultat '!D31</f>
        <v>13.579999999999998</v>
      </c>
      <c r="E39" s="193"/>
      <c r="F39" s="193"/>
    </row>
    <row r="40" spans="1:6" ht="17.399999999999999" x14ac:dyDescent="0.3">
      <c r="A40" s="194"/>
      <c r="B40" s="202"/>
      <c r="C40" s="196"/>
      <c r="D40" s="202"/>
      <c r="E40" s="196"/>
      <c r="F40" s="196"/>
    </row>
    <row r="41" spans="1:6" ht="17.399999999999999" x14ac:dyDescent="0.3">
      <c r="A41" s="197" t="s">
        <v>246</v>
      </c>
      <c r="B41" s="203">
        <f>SUM(B36:B39)</f>
        <v>2565.9499999999989</v>
      </c>
      <c r="C41" s="199">
        <f>IF(B41=0,0,+B41*100/B$10)</f>
        <v>4.7325224319663572</v>
      </c>
      <c r="D41" s="203">
        <f>SUM(D36:D39)</f>
        <v>3348.3300000000017</v>
      </c>
      <c r="E41" s="199">
        <f>IF(D41=0,0,+D41*100/D$10)</f>
        <v>6.3439370973853766</v>
      </c>
      <c r="F41" s="199">
        <f>IF(B41=0,0,(D41-B41)*100/B41)</f>
        <v>30.490851341608497</v>
      </c>
    </row>
    <row r="42" spans="1:6" ht="17.399999999999999" x14ac:dyDescent="0.3">
      <c r="A42" s="133"/>
      <c r="B42" s="200"/>
      <c r="C42" s="201"/>
      <c r="D42" s="200"/>
      <c r="E42" s="201"/>
      <c r="F42" s="201"/>
    </row>
    <row r="43" spans="1:6" ht="17.399999999999999" x14ac:dyDescent="0.3">
      <c r="A43" s="122" t="s">
        <v>247</v>
      </c>
      <c r="B43" s="192">
        <f>B41</f>
        <v>2565.9499999999989</v>
      </c>
      <c r="C43" s="193"/>
      <c r="D43" s="192">
        <f>D41</f>
        <v>3348.3300000000017</v>
      </c>
      <c r="E43" s="193"/>
      <c r="F43" s="193"/>
    </row>
    <row r="44" spans="1:6" ht="17.399999999999999" x14ac:dyDescent="0.3">
      <c r="A44" s="122" t="s">
        <v>248</v>
      </c>
      <c r="B44" s="192">
        <f>'Compte de résultat '!C36-'Compte de résultat '!C37</f>
        <v>-101.67</v>
      </c>
      <c r="C44" s="193"/>
      <c r="D44" s="192">
        <f>'Compte de résultat '!D36-'Compte de résultat '!D37</f>
        <v>-56.43</v>
      </c>
      <c r="E44" s="193"/>
      <c r="F44" s="193"/>
    </row>
    <row r="45" spans="1:6" ht="17.399999999999999" x14ac:dyDescent="0.3">
      <c r="A45" s="122" t="s">
        <v>249</v>
      </c>
      <c r="B45" s="192">
        <f>'Compte de résultat '!C53</f>
        <v>-508.13</v>
      </c>
      <c r="C45" s="193"/>
      <c r="D45" s="192">
        <f>'Compte de résultat '!D53</f>
        <v>-519.16999999999996</v>
      </c>
      <c r="E45" s="193"/>
      <c r="F45" s="193"/>
    </row>
    <row r="46" spans="1:6" ht="17.399999999999999" x14ac:dyDescent="0.3">
      <c r="A46" s="122" t="s">
        <v>250</v>
      </c>
      <c r="B46" s="192">
        <f>-1/3*'RES04'!D31-1/2*'RES04'!D32</f>
        <v>0</v>
      </c>
      <c r="C46" s="193"/>
      <c r="D46" s="192">
        <f>-1/3*'RES04'!E31-1/2*'RES04'!E32</f>
        <v>0</v>
      </c>
      <c r="E46" s="193"/>
      <c r="F46" s="193"/>
    </row>
    <row r="47" spans="1:6" ht="17.399999999999999" x14ac:dyDescent="0.3">
      <c r="A47" s="194"/>
      <c r="B47" s="202"/>
      <c r="C47" s="196"/>
      <c r="D47" s="202"/>
      <c r="E47" s="196"/>
      <c r="F47" s="196"/>
    </row>
    <row r="48" spans="1:6" ht="17.399999999999999" x14ac:dyDescent="0.3">
      <c r="A48" s="197" t="s">
        <v>251</v>
      </c>
      <c r="B48" s="203">
        <f>SUM(B43:B46)</f>
        <v>1956.1499999999987</v>
      </c>
      <c r="C48" s="199">
        <f>IF(B48=0,0,+B48*100/B$10)</f>
        <v>3.6078348195759808</v>
      </c>
      <c r="D48" s="203">
        <f>SUM(D43:D46)</f>
        <v>2772.7300000000018</v>
      </c>
      <c r="E48" s="199">
        <f>IF(D48=0,0,+D48*100/D$10)</f>
        <v>5.2533724895793892</v>
      </c>
      <c r="F48" s="199">
        <f>IF(B48=0,0,(D48-B48)*100/B48)</f>
        <v>41.744242517189562</v>
      </c>
    </row>
    <row r="49" spans="1:6" ht="17.399999999999999" x14ac:dyDescent="0.3">
      <c r="A49" s="133"/>
      <c r="B49" s="200"/>
      <c r="C49" s="201"/>
      <c r="D49" s="200"/>
      <c r="E49" s="201"/>
      <c r="F49" s="201"/>
    </row>
    <row r="50" spans="1:6" ht="17.399999999999999" x14ac:dyDescent="0.3">
      <c r="A50" s="122" t="s">
        <v>252</v>
      </c>
      <c r="B50" s="192">
        <f>B48</f>
        <v>1956.1499999999987</v>
      </c>
      <c r="C50" s="193"/>
      <c r="D50" s="192">
        <f>D48</f>
        <v>2772.7300000000018</v>
      </c>
      <c r="E50" s="193"/>
      <c r="F50" s="193"/>
    </row>
    <row r="51" spans="1:6" ht="17.399999999999999" x14ac:dyDescent="0.3">
      <c r="A51" s="122" t="s">
        <v>253</v>
      </c>
      <c r="B51" s="192">
        <f>'RES04'!D18</f>
        <v>-168.24</v>
      </c>
      <c r="C51" s="193"/>
      <c r="D51" s="192">
        <f>'RES04'!E18</f>
        <v>190.94</v>
      </c>
      <c r="E51" s="193"/>
      <c r="F51" s="193"/>
    </row>
    <row r="52" spans="1:6" ht="17.399999999999999" x14ac:dyDescent="0.3">
      <c r="A52" s="122" t="s">
        <v>254</v>
      </c>
      <c r="B52" s="192">
        <f>-'RES04'!D20</f>
        <v>-284.19</v>
      </c>
      <c r="C52" s="193"/>
      <c r="D52" s="192">
        <f>-'RES04'!E20</f>
        <v>-354.06</v>
      </c>
      <c r="E52" s="193"/>
      <c r="F52" s="193"/>
    </row>
    <row r="53" spans="1:6" ht="17.399999999999999" x14ac:dyDescent="0.3">
      <c r="A53" s="122" t="s">
        <v>255</v>
      </c>
      <c r="B53" s="192">
        <f>-'RES04'!D21</f>
        <v>220.34</v>
      </c>
      <c r="C53" s="193"/>
      <c r="D53" s="192">
        <f>-'RES04'!E21</f>
        <v>-245.74</v>
      </c>
      <c r="E53" s="193"/>
      <c r="F53" s="193"/>
    </row>
    <row r="54" spans="1:6" ht="17.399999999999999" x14ac:dyDescent="0.3">
      <c r="A54" s="194"/>
      <c r="B54" s="202"/>
      <c r="C54" s="196"/>
      <c r="D54" s="202"/>
      <c r="E54" s="196"/>
      <c r="F54" s="196"/>
    </row>
    <row r="55" spans="1:6" ht="17.399999999999999" x14ac:dyDescent="0.3">
      <c r="A55" s="204" t="s">
        <v>256</v>
      </c>
      <c r="B55" s="205">
        <f>SUM(B50:B53)</f>
        <v>1724.0599999999986</v>
      </c>
      <c r="C55" s="206">
        <f>IF(B55=0,0,+B55*100/B$10)</f>
        <v>3.1797784929776163</v>
      </c>
      <c r="D55" s="205">
        <f>SUM(D50:D53)</f>
        <v>2363.8700000000017</v>
      </c>
      <c r="E55" s="206">
        <f>IF(D55=0,0,+D55*100/D$10)</f>
        <v>4.4787230011367978</v>
      </c>
      <c r="F55" s="206">
        <f>IF(B55=0,0,(D55-B55)*100/B55)</f>
        <v>37.110657401714768</v>
      </c>
    </row>
    <row r="56" spans="1:6" ht="17.399999999999999" x14ac:dyDescent="0.3">
      <c r="A56" s="207"/>
      <c r="B56" s="208"/>
      <c r="C56" s="209"/>
      <c r="D56" s="208"/>
      <c r="E56" s="209"/>
      <c r="F56" s="209"/>
    </row>
    <row r="57" spans="1:6" x14ac:dyDescent="0.25">
      <c r="A57" s="3"/>
    </row>
  </sheetData>
  <mergeCells count="1">
    <mergeCell ref="F4:F6"/>
  </mergeCells>
  <phoneticPr fontId="0" type="noConversion"/>
  <printOptions horizontalCentered="1"/>
  <pageMargins left="0.7" right="0.78740157480314965" top="0.98425196850393704" bottom="0.98425196850393704" header="0.51181102362204722" footer="0.51181102362204722"/>
  <pageSetup paperSize="9" scale="86" orientation="portrait" horizontalDpi="4294967292" verticalDpi="300" r:id="rId1"/>
  <headerFooter alignWithMargins="0">
    <oddHeader>&amp;CVWFI</oddHeader>
    <oddFooter>&amp;C&amp;"Arial,Normal"ANAFIN (2004) - VWFI  - Credit Management&amp;R&amp;"Arial,Normal"&amp;8 -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Fiche identité société</vt:lpstr>
      <vt:lpstr>ACTIF</vt:lpstr>
      <vt:lpstr>Feuil2</vt:lpstr>
      <vt:lpstr>PASSIF</vt:lpstr>
      <vt:lpstr>Compte de résultat </vt:lpstr>
      <vt:lpstr>RES04</vt:lpstr>
      <vt:lpstr>Calcul ratio</vt:lpstr>
      <vt:lpstr>Soldes Interm.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Seydina BA</dc:creator>
  <cp:lastModifiedBy>ISSA PEROU</cp:lastModifiedBy>
  <cp:lastPrinted>2006-10-20T14:58:00Z</cp:lastPrinted>
  <dcterms:created xsi:type="dcterms:W3CDTF">1998-07-30T17:12:22Z</dcterms:created>
  <dcterms:modified xsi:type="dcterms:W3CDTF">2023-09-26T16:23:24Z</dcterms:modified>
</cp:coreProperties>
</file>