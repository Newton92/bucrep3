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24174\Downloads\"/>
    </mc:Choice>
  </mc:AlternateContent>
  <bookViews>
    <workbookView xWindow="0" yWindow="0" windowWidth="19200" windowHeight="7190"/>
  </bookViews>
  <sheets>
    <sheet name="Actif" sheetId="1" r:id="rId1"/>
    <sheet name="Passif" sheetId="2" r:id="rId2"/>
    <sheet name="Compte de resultat" sheetId="3" r:id="rId3"/>
    <sheet name="Ratios" sheetId="4" r:id="rId4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5" i="1" l="1"/>
  <c r="D25" i="1"/>
  <c r="B25" i="1"/>
  <c r="C22" i="1"/>
  <c r="D22" i="1"/>
  <c r="B22" i="1"/>
  <c r="C20" i="1"/>
  <c r="D20" i="1"/>
  <c r="B20" i="1"/>
  <c r="C17" i="1"/>
  <c r="D17" i="1"/>
  <c r="C12" i="1"/>
  <c r="D12" i="1"/>
  <c r="B12" i="1"/>
  <c r="C8" i="1"/>
  <c r="D8" i="1"/>
  <c r="B8" i="1"/>
  <c r="C27" i="3"/>
  <c r="D27" i="3"/>
  <c r="C25" i="3"/>
  <c r="D25" i="3"/>
  <c r="B25" i="3"/>
  <c r="B27" i="3"/>
  <c r="C27" i="2"/>
  <c r="D27" i="2"/>
  <c r="B27" i="2"/>
  <c r="C25" i="2"/>
  <c r="D25" i="2"/>
  <c r="B25" i="2"/>
  <c r="C20" i="2"/>
  <c r="D20" i="2"/>
  <c r="B20" i="2"/>
  <c r="C22" i="2"/>
  <c r="D22" i="2"/>
  <c r="B22" i="2"/>
  <c r="B14" i="3"/>
  <c r="C14" i="3"/>
  <c r="D14" i="3"/>
  <c r="B6" i="3"/>
  <c r="C6" i="3"/>
  <c r="D6" i="3"/>
  <c r="C23" i="3" l="1"/>
  <c r="D23" i="3"/>
  <c r="C21" i="3"/>
  <c r="C18" i="3"/>
  <c r="D18" i="3"/>
  <c r="C11" i="3"/>
  <c r="D11" i="3"/>
  <c r="D21" i="3" s="1"/>
  <c r="C3" i="3"/>
  <c r="C16" i="4" s="1"/>
  <c r="D3" i="3"/>
  <c r="D16" i="4" s="1"/>
  <c r="B23" i="3"/>
  <c r="B18" i="3"/>
  <c r="B11" i="3"/>
  <c r="B3" i="3"/>
  <c r="B16" i="4" s="1"/>
  <c r="C12" i="2"/>
  <c r="C18" i="2" s="1"/>
  <c r="D12" i="2"/>
  <c r="C15" i="2"/>
  <c r="D15" i="2"/>
  <c r="D18" i="2"/>
  <c r="C30" i="2"/>
  <c r="D30" i="2"/>
  <c r="B30" i="2"/>
  <c r="B15" i="2"/>
  <c r="B12" i="2"/>
  <c r="B18" i="2" s="1"/>
  <c r="B17" i="1"/>
  <c r="B27" i="1" s="1"/>
  <c r="C27" i="1"/>
  <c r="C5" i="1" s="1"/>
  <c r="C3" i="1" s="1"/>
  <c r="C15" i="1" s="1"/>
  <c r="D27" i="1"/>
  <c r="D5" i="1" s="1"/>
  <c r="D3" i="1" s="1"/>
  <c r="D15" i="1" s="1"/>
  <c r="D11" i="4" l="1"/>
  <c r="D9" i="3"/>
  <c r="D22" i="3" s="1"/>
  <c r="C9" i="3"/>
  <c r="C22" i="3" s="1"/>
  <c r="C11" i="4"/>
  <c r="D5" i="4"/>
  <c r="D6" i="4"/>
  <c r="C28" i="1"/>
  <c r="C15" i="4" s="1"/>
  <c r="C5" i="4"/>
  <c r="C6" i="4"/>
  <c r="D28" i="1"/>
  <c r="B21" i="3"/>
  <c r="B11" i="4"/>
  <c r="B9" i="3"/>
  <c r="B5" i="1"/>
  <c r="B5" i="4"/>
  <c r="B6" i="4"/>
  <c r="B3" i="1" l="1"/>
  <c r="B15" i="1" s="1"/>
  <c r="B28" i="1" s="1"/>
  <c r="B15" i="4" s="1"/>
  <c r="B22" i="3"/>
  <c r="B28" i="3" s="1"/>
  <c r="B30" i="3" s="1"/>
  <c r="B9" i="2" s="1"/>
  <c r="D12" i="4"/>
  <c r="D9" i="4"/>
  <c r="D28" i="3"/>
  <c r="D30" i="3" s="1"/>
  <c r="C12" i="4"/>
  <c r="C9" i="4"/>
  <c r="C28" i="3"/>
  <c r="C30" i="3" s="1"/>
  <c r="C9" i="2" s="1"/>
  <c r="D15" i="4"/>
  <c r="D13" i="4" l="1"/>
  <c r="D9" i="2"/>
  <c r="D10" i="2" s="1"/>
  <c r="D3" i="4" s="1"/>
  <c r="B9" i="4"/>
  <c r="B12" i="4"/>
  <c r="D2" i="4"/>
  <c r="C13" i="4"/>
  <c r="C2" i="4"/>
  <c r="B13" i="4"/>
  <c r="B2" i="4"/>
  <c r="B10" i="2"/>
  <c r="B3" i="4" s="1"/>
  <c r="C10" i="2"/>
  <c r="D31" i="2" l="1"/>
  <c r="L26" i="1" s="1"/>
  <c r="C3" i="4"/>
  <c r="C31" i="2"/>
  <c r="B31" i="2"/>
  <c r="J26" i="1" s="1"/>
  <c r="D8" i="4" l="1"/>
  <c r="B8" i="4"/>
  <c r="K26" i="1"/>
  <c r="C8" i="4"/>
</calcChain>
</file>

<file path=xl/sharedStrings.xml><?xml version="1.0" encoding="utf-8"?>
<sst xmlns="http://schemas.openxmlformats.org/spreadsheetml/2006/main" count="131" uniqueCount="109">
  <si>
    <t>Actif</t>
  </si>
  <si>
    <t>Actif non courant</t>
  </si>
  <si>
    <t>Immobilisations incorporelles</t>
  </si>
  <si>
    <t>- Goodwill</t>
  </si>
  <si>
    <t>- Marques et droits d'auteur</t>
  </si>
  <si>
    <t>- Brevets et licences</t>
  </si>
  <si>
    <t>- Autres immobilisations incorporelles</t>
  </si>
  <si>
    <t>Immobilisations corporelles</t>
  </si>
  <si>
    <t>- Terrains</t>
  </si>
  <si>
    <t>- Bâtiments</t>
  </si>
  <si>
    <t>- Matériel et équipement</t>
  </si>
  <si>
    <t>Immobilisations financières</t>
  </si>
  <si>
    <t>- Participations dans des sociétés</t>
  </si>
  <si>
    <t>- Prêts à long terme</t>
  </si>
  <si>
    <t>Total Actif non courant</t>
  </si>
  <si>
    <t>Actif courant</t>
  </si>
  <si>
    <t>Stocks</t>
  </si>
  <si>
    <t>- Matières premières</t>
  </si>
  <si>
    <t>- Produits finis</t>
  </si>
  <si>
    <t>Créances clients</t>
  </si>
  <si>
    <t>- Créances à court terme</t>
  </si>
  <si>
    <t>Autres créances</t>
  </si>
  <si>
    <t>- Avances et acomptes</t>
  </si>
  <si>
    <t>- Créances diverses</t>
  </si>
  <si>
    <t>Trésorerie et équivalents de trésorerie</t>
  </si>
  <si>
    <t>- Disponibilités bancaires</t>
  </si>
  <si>
    <t>Total Actif courant</t>
  </si>
  <si>
    <t>Total Actif</t>
  </si>
  <si>
    <t>Passif</t>
  </si>
  <si>
    <t>Capitaux propres</t>
  </si>
  <si>
    <t>Capital social</t>
  </si>
  <si>
    <t>Primes d'émission</t>
  </si>
  <si>
    <t>Réserves légales</t>
  </si>
  <si>
    <t>Réserves statutaires</t>
  </si>
  <si>
    <t>Réserves facultatives</t>
  </si>
  <si>
    <t>Autres réserves</t>
  </si>
  <si>
    <t>Résultat net reporté</t>
  </si>
  <si>
    <t>Total Capitaux propres</t>
  </si>
  <si>
    <t>Passif non courant</t>
  </si>
  <si>
    <t>Emprunts et dettes financières à long terme</t>
  </si>
  <si>
    <t>- Emprunts bancaires</t>
  </si>
  <si>
    <t>- Obligations</t>
  </si>
  <si>
    <t>Provisions pour risques et charges</t>
  </si>
  <si>
    <t>- Provisions pour retraites et pensions</t>
  </si>
  <si>
    <t>- Autres provisions</t>
  </si>
  <si>
    <t>Total Passif non courant</t>
  </si>
  <si>
    <t>Passif courant</t>
  </si>
  <si>
    <t>Fournisseurs et dettes fournisseurs</t>
  </si>
  <si>
    <t>- Dettes à court terme</t>
  </si>
  <si>
    <t>Dettes fiscales et sociales</t>
  </si>
  <si>
    <t>- Impôts sur le revenu</t>
  </si>
  <si>
    <t>- Cotisations sociales</t>
  </si>
  <si>
    <t>Emprunts et dettes financières à court terme</t>
  </si>
  <si>
    <t>Autres dettes</t>
  </si>
  <si>
    <t>- Dettes diverses</t>
  </si>
  <si>
    <t>- Dividendes à payer</t>
  </si>
  <si>
    <t>Total Passif courant</t>
  </si>
  <si>
    <t>Total Passif</t>
  </si>
  <si>
    <t>N</t>
  </si>
  <si>
    <t>N-1</t>
  </si>
  <si>
    <t>N-2</t>
  </si>
  <si>
    <t>Compte de Résultat</t>
  </si>
  <si>
    <t>Produits</t>
  </si>
  <si>
    <t>Chiffre d'affaires</t>
  </si>
  <si>
    <t>- Ventes de biens</t>
  </si>
  <si>
    <t>- Ventes de services</t>
  </si>
  <si>
    <t>Autres produits opérationnels</t>
  </si>
  <si>
    <t>- Subventions d'exploitation</t>
  </si>
  <si>
    <t>- Revenus exceptionnels</t>
  </si>
  <si>
    <t>Total Produits</t>
  </si>
  <si>
    <t>Charges</t>
  </si>
  <si>
    <t>Coût des ventes</t>
  </si>
  <si>
    <t>- Achats de matières premières</t>
  </si>
  <si>
    <t>- Autres coûts directs</t>
  </si>
  <si>
    <t>Charges opérationnelles</t>
  </si>
  <si>
    <t>- Salaires et charges sociales</t>
  </si>
  <si>
    <t>- Loyer et charges locatives</t>
  </si>
  <si>
    <t>- Autres charges d'exploitation</t>
  </si>
  <si>
    <t>Amortissements et provisions</t>
  </si>
  <si>
    <t>- Amortissement des immobilisations</t>
  </si>
  <si>
    <t>- Provisions pour risques et charges</t>
  </si>
  <si>
    <t>Total Charges</t>
  </si>
  <si>
    <t>Résultat opérationnel</t>
  </si>
  <si>
    <t>Produits financiers</t>
  </si>
  <si>
    <t>- Revenus financiers</t>
  </si>
  <si>
    <t>Charges financières</t>
  </si>
  <si>
    <t>- Charges d'intérêts</t>
  </si>
  <si>
    <t>Résultat financier</t>
  </si>
  <si>
    <t>Résultat avant impôt</t>
  </si>
  <si>
    <t>Impôt sur les sociétés</t>
  </si>
  <si>
    <t>Résultat net</t>
  </si>
  <si>
    <t>Liquidité générale</t>
  </si>
  <si>
    <t>Liquidité immédiate</t>
  </si>
  <si>
    <t>Ratio d'endettement total</t>
  </si>
  <si>
    <t>Ratio de couverture des intérêts</t>
  </si>
  <si>
    <t>Marge brute</t>
  </si>
  <si>
    <t>Marge opérationnelle</t>
  </si>
  <si>
    <t>Marge nette</t>
  </si>
  <si>
    <t>Rotation des actifs</t>
  </si>
  <si>
    <t>Délai moyen de recouvrement des créances (DSO)</t>
  </si>
  <si>
    <t>Rentabilité économique  (Return on Assets - ROA)</t>
  </si>
  <si>
    <t>Rentabilité des capitaux propres (Return on Equity - ROE)</t>
  </si>
  <si>
    <t>LIQUIDITE</t>
  </si>
  <si>
    <t>SOLVABILITE</t>
  </si>
  <si>
    <t>RENTABILITE DES VENTES</t>
  </si>
  <si>
    <t>GESTION</t>
  </si>
  <si>
    <t>En jours</t>
  </si>
  <si>
    <t>GRAPHIQUES</t>
  </si>
  <si>
    <t>RATIO FINANCIER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</si>
</sst>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,##0\ &quot;€&quot;;[Red]\-#,##0\ &quot;€&quot;"/>
    <numFmt numFmtId="165" formatCode="#,##0\ [$XAF];[Red]\-#,##0\ [$XAF]"/>
    <numFmt numFmtId="166" formatCode="_-* #,##0.00\ [$XAF]_-;\-* #,##0.00\ [$XAF]_-;_-* &quot;-&quot;??\ [$XAF]_-;_-@_-"/>
    <numFmt numFmtId="167" formatCode="#,##0_ ;[Red]\-#,##0\ "/>
  </numFmts>
  <fonts count="9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ndara"/>
      <family val="2"/>
    </font>
    <font>
      <sz val="11"/>
      <color theme="1"/>
      <name val="Candara"/>
      <family val="2"/>
    </font>
    <font>
      <b/>
      <sz val="14"/>
      <color theme="1"/>
      <name val="Candara"/>
      <family val="2"/>
    </font>
    <font>
      <b/>
      <sz val="12"/>
      <color theme="1"/>
      <name val="Candara"/>
      <family val="2"/>
    </font>
    <font>
      <sz val="12"/>
      <color theme="1"/>
      <name val="Candara"/>
      <family val="2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9" fontId="6" fillId="0" borderId="0" xfId="0" applyNumberFormat="1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/>
    <xf numFmtId="0" fontId="5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/>
    <xf numFmtId="0" fontId="6" fillId="0" borderId="1" xfId="0" applyFont="1" applyBorder="1" applyAlignment="1">
      <alignment vertical="center"/>
    </xf>
    <xf numFmtId="166" fontId="6" fillId="0" borderId="1" xfId="0" applyNumberFormat="1" applyFont="1" applyBorder="1" applyAlignment="1">
      <alignment vertical="center"/>
    </xf>
    <xf numFmtId="164" fontId="6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7" fillId="0" borderId="0" xfId="0" applyFont="1"/>
    <xf numFmtId="0" fontId="4" fillId="0" borderId="1" xfId="0" applyFont="1" applyBorder="1"/>
    <xf numFmtId="165" fontId="6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vertical="center"/>
    </xf>
    <xf numFmtId="165" fontId="5" fillId="0" borderId="1" xfId="0" applyNumberFormat="1" applyFont="1" applyBorder="1" applyAlignment="1">
      <alignment vertical="center"/>
    </xf>
    <xf numFmtId="0" fontId="8" fillId="0" borderId="0" xfId="0" applyFont="1"/>
    <xf numFmtId="166" fontId="0" fillId="0" borderId="0" xfId="0" applyNumberFormat="1"/>
    <xf numFmtId="167" fontId="6" fillId="0" borderId="0" xfId="0" applyNumberFormat="1" applyFont="1" applyAlignment="1">
      <alignment vertical="center"/>
    </xf>
    <xf numFmtId="0" fontId="8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RATIO FINANCIER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Ratios!$B$1</c:f>
              <c:strCache>
                <c:ptCount val="1"/>
                <c:pt idx="0">
                  <c:v>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Ratios!$A$2:$A$3</c:f>
              <c:strCache>
                <c:ptCount val="2"/>
                <c:pt idx="0">
                  <c:v>Rentabilité économique  (Return on Assets - ROA)</c:v>
                </c:pt>
                <c:pt idx="1">
                  <c:v>Rentabilité des capitaux propres (Return on Equity - ROE)</c:v>
                </c:pt>
              </c:strCache>
            </c:strRef>
          </c:cat>
          <c:val>
            <c:numRef>
              <c:f>Ratios!$B$2:$B$3</c:f>
              <c:numCache>
                <c:formatCode>0%</c:formatCode>
                <c:ptCount val="2"/>
                <c:pt idx="0">
                  <c:v>4.6624203821656049</c:v>
                </c:pt>
                <c:pt idx="1">
                  <c:v>11.883116883116882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D46-4292-B1DF-143AF2519EE6}"/>
            </c:ext>
          </c:extLst>
        </c:ser>
        <c:ser>
          <c:idx val="1"/>
          <c:order val="1"/>
          <c:tx>
            <c:strRef>
              <c:f>Ratios!$C$1</c:f>
              <c:strCache>
                <c:ptCount val="1"/>
                <c:pt idx="0">
                  <c:v>N-1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Ratios!$A$2:$A$3</c:f>
              <c:strCache>
                <c:ptCount val="2"/>
                <c:pt idx="0">
                  <c:v>Rentabilité économique  (Return on Assets - ROA)</c:v>
                </c:pt>
                <c:pt idx="1">
                  <c:v>Rentabilité des capitaux propres (Return on Equity - ROE)</c:v>
                </c:pt>
              </c:strCache>
            </c:strRef>
          </c:cat>
          <c:val>
            <c:numRef>
              <c:f>Ratios!$C$2:$C$3</c:f>
              <c:numCache>
                <c:formatCode>0%</c:formatCode>
                <c:ptCount val="2"/>
                <c:pt idx="0">
                  <c:v>1.5518649605227335</c:v>
                </c:pt>
                <c:pt idx="1">
                  <c:v>4.0311173974540306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1D46-4292-B1DF-143AF2519EE6}"/>
            </c:ext>
          </c:extLst>
        </c:ser>
        <c:ser>
          <c:idx val="2"/>
          <c:order val="2"/>
          <c:tx>
            <c:strRef>
              <c:f>Ratios!$D$1</c:f>
              <c:strCache>
                <c:ptCount val="1"/>
                <c:pt idx="0">
                  <c:v>N-2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Ratios!$A$2:$A$3</c:f>
              <c:strCache>
                <c:ptCount val="2"/>
                <c:pt idx="0">
                  <c:v>Rentabilité économique  (Return on Assets - ROA)</c:v>
                </c:pt>
                <c:pt idx="1">
                  <c:v>Rentabilité des capitaux propres (Return on Equity - ROE)</c:v>
                </c:pt>
              </c:strCache>
            </c:strRef>
          </c:cat>
          <c:val>
            <c:numRef>
              <c:f>Ratios!$D$2:$D$3</c:f>
              <c:numCache>
                <c:formatCode>0%</c:formatCode>
                <c:ptCount val="2"/>
                <c:pt idx="0">
                  <c:v>3.1588447653429599</c:v>
                </c:pt>
                <c:pt idx="1">
                  <c:v>7.1672354948805461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1D46-4292-B1DF-143AF2519E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0909912"/>
        <c:axId val="390905208"/>
      </c:barChart>
      <c:catAx>
        <c:axId val="390909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90905208"/>
        <c:crosses val="autoZero"/>
        <c:auto val="1"/>
        <c:lblAlgn val="ctr"/>
        <c:lblOffset val="100"/>
        <c:noMultiLvlLbl val="0"/>
      </c:catAx>
      <c:valAx>
        <c:axId val="390905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90909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fr-FR"/>
              <a:t>RATIO LIQUIDITE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7.0567147856517937E-2"/>
          <c:y val="0.16708333333333336"/>
          <c:w val="0.88498840769903764"/>
          <c:h val="0.6149843248760571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Ratios!$B$4</c:f>
              <c:strCache>
                <c:ptCount val="1"/>
                <c:pt idx="0">
                  <c:v>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Ratios!$A$5:$A$6</c:f>
              <c:strCache>
                <c:ptCount val="2"/>
                <c:pt idx="0">
                  <c:v>Liquidité générale</c:v>
                </c:pt>
                <c:pt idx="1">
                  <c:v>Liquidité immédiate</c:v>
                </c:pt>
              </c:strCache>
            </c:strRef>
          </c:cat>
          <c:val>
            <c:numRef>
              <c:f>Ratios!$B$5:$B$6</c:f>
              <c:numCache>
                <c:formatCode>0%</c:formatCode>
                <c:ptCount val="2"/>
                <c:pt idx="0">
                  <c:v>0.48021390374331552</c:v>
                </c:pt>
                <c:pt idx="1">
                  <c:v>0.40962566844919784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5E2-4C75-BD88-1F099BDC1833}"/>
            </c:ext>
          </c:extLst>
        </c:ser>
        <c:ser>
          <c:idx val="1"/>
          <c:order val="1"/>
          <c:tx>
            <c:strRef>
              <c:f>Ratios!$C$4</c:f>
              <c:strCache>
                <c:ptCount val="1"/>
                <c:pt idx="0">
                  <c:v>N-1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Ratios!$A$5:$A$6</c:f>
              <c:strCache>
                <c:ptCount val="2"/>
                <c:pt idx="0">
                  <c:v>Liquidité générale</c:v>
                </c:pt>
                <c:pt idx="1">
                  <c:v>Liquidité immédiate</c:v>
                </c:pt>
              </c:strCache>
            </c:strRef>
          </c:cat>
          <c:val>
            <c:numRef>
              <c:f>Ratios!$C$5:$C$6</c:f>
              <c:numCache>
                <c:formatCode>0%</c:formatCode>
                <c:ptCount val="2"/>
                <c:pt idx="0">
                  <c:v>0.44994499449944997</c:v>
                </c:pt>
                <c:pt idx="1">
                  <c:v>0.34983498349834985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5E2-4C75-BD88-1F099BDC1833}"/>
            </c:ext>
          </c:extLst>
        </c:ser>
        <c:ser>
          <c:idx val="2"/>
          <c:order val="2"/>
          <c:tx>
            <c:strRef>
              <c:f>Ratios!$D$4</c:f>
              <c:strCache>
                <c:ptCount val="1"/>
                <c:pt idx="0">
                  <c:v>N-2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Ratios!$A$5:$A$6</c:f>
              <c:strCache>
                <c:ptCount val="2"/>
                <c:pt idx="0">
                  <c:v>Liquidité générale</c:v>
                </c:pt>
                <c:pt idx="1">
                  <c:v>Liquidité immédiate</c:v>
                </c:pt>
              </c:strCache>
            </c:strRef>
          </c:cat>
          <c:val>
            <c:numRef>
              <c:f>Ratios!$D$5:$D$6</c:f>
              <c:numCache>
                <c:formatCode>0%</c:formatCode>
                <c:ptCount val="2"/>
                <c:pt idx="0">
                  <c:v>0.59570661896243293</c:v>
                </c:pt>
                <c:pt idx="1">
                  <c:v>0.51878354203935595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D5E2-4C75-BD88-1F099BDC18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7"/>
        <c:overlap val="-43"/>
        <c:axId val="390905992"/>
        <c:axId val="390906384"/>
      </c:barChart>
      <c:catAx>
        <c:axId val="390905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90906384"/>
        <c:crosses val="autoZero"/>
        <c:auto val="1"/>
        <c:lblAlgn val="ctr"/>
        <c:lblOffset val="100"/>
        <c:noMultiLvlLbl val="0"/>
      </c:catAx>
      <c:valAx>
        <c:axId val="390906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90905992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RATIO DE SOLVABILITE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Ratios!$B$7</c:f>
              <c:strCache>
                <c:ptCount val="1"/>
                <c:pt idx="0">
                  <c:v>N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Ratios!$A$8:$A$9</c:f>
              <c:strCache>
                <c:ptCount val="2"/>
                <c:pt idx="0">
                  <c:v>Ratio d'endettement total</c:v>
                </c:pt>
                <c:pt idx="1">
                  <c:v>Ratio de couverture des intérêts</c:v>
                </c:pt>
              </c:strCache>
            </c:strRef>
          </c:cat>
          <c:val>
            <c:numRef>
              <c:f>Ratios!$B$8:$B$9</c:f>
              <c:numCache>
                <c:formatCode>0%</c:formatCode>
                <c:ptCount val="2"/>
                <c:pt idx="0">
                  <c:v>2.5487012987012987</c:v>
                </c:pt>
                <c:pt idx="1">
                  <c:v>3.103448275862069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225-408B-ADC4-F8524FCEA632}"/>
            </c:ext>
          </c:extLst>
        </c:ser>
        <c:ser>
          <c:idx val="1"/>
          <c:order val="1"/>
          <c:tx>
            <c:strRef>
              <c:f>Ratios!$C$7</c:f>
              <c:strCache>
                <c:ptCount val="1"/>
                <c:pt idx="0">
                  <c:v>N-1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Ratios!$A$8:$A$9</c:f>
              <c:strCache>
                <c:ptCount val="2"/>
                <c:pt idx="0">
                  <c:v>Ratio d'endettement total</c:v>
                </c:pt>
                <c:pt idx="1">
                  <c:v>Ratio de couverture des intérêts</c:v>
                </c:pt>
              </c:strCache>
            </c:strRef>
          </c:cat>
          <c:val>
            <c:numRef>
              <c:f>Ratios!$C$8:$C$9</c:f>
              <c:numCache>
                <c:formatCode>0%</c:formatCode>
                <c:ptCount val="2"/>
                <c:pt idx="0">
                  <c:v>2.5975954738330977</c:v>
                </c:pt>
                <c:pt idx="1">
                  <c:v>1.4212765957446809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9225-408B-ADC4-F8524FCEA632}"/>
            </c:ext>
          </c:extLst>
        </c:ser>
        <c:ser>
          <c:idx val="2"/>
          <c:order val="2"/>
          <c:tx>
            <c:strRef>
              <c:f>Ratios!$D$7</c:f>
              <c:strCache>
                <c:ptCount val="1"/>
                <c:pt idx="0">
                  <c:v>N-2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Ratios!$A$8:$A$9</c:f>
              <c:strCache>
                <c:ptCount val="2"/>
                <c:pt idx="0">
                  <c:v>Ratio d'endettement total</c:v>
                </c:pt>
                <c:pt idx="1">
                  <c:v>Ratio de couverture des intérêts</c:v>
                </c:pt>
              </c:strCache>
            </c:strRef>
          </c:cat>
          <c:val>
            <c:numRef>
              <c:f>Ratios!$D$8:$D$9</c:f>
              <c:numCache>
                <c:formatCode>0%</c:formatCode>
                <c:ptCount val="2"/>
                <c:pt idx="0">
                  <c:v>2.2689419795221841</c:v>
                </c:pt>
                <c:pt idx="1">
                  <c:v>2.3652694610778444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9225-408B-ADC4-F8524FCEA63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87968160"/>
        <c:axId val="387970904"/>
      </c:barChart>
      <c:catAx>
        <c:axId val="387968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87970904"/>
        <c:crosses val="autoZero"/>
        <c:auto val="1"/>
        <c:lblAlgn val="ctr"/>
        <c:lblOffset val="100"/>
        <c:noMultiLvlLbl val="0"/>
      </c:catAx>
      <c:valAx>
        <c:axId val="387970904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387968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fr-FR"/>
              <a:t>Ratio Rentabilite des ventes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Ratios!$A$11</c:f>
              <c:strCache>
                <c:ptCount val="1"/>
                <c:pt idx="0">
                  <c:v>Marge brute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Ratios!$B$10:$D$10</c:f>
              <c:strCache>
                <c:ptCount val="3"/>
                <c:pt idx="0">
                  <c:v>N</c:v>
                </c:pt>
                <c:pt idx="1">
                  <c:v>N-1</c:v>
                </c:pt>
                <c:pt idx="2">
                  <c:v>N-2</c:v>
                </c:pt>
              </c:strCache>
            </c:strRef>
          </c:cat>
          <c:val>
            <c:numRef>
              <c:f>Ratios!$B$11:$D$11</c:f>
              <c:numCache>
                <c:formatCode>0%</c:formatCode>
                <c:ptCount val="3"/>
                <c:pt idx="0">
                  <c:v>25.373134328358208</c:v>
                </c:pt>
                <c:pt idx="1">
                  <c:v>21.656686626746506</c:v>
                </c:pt>
                <c:pt idx="2">
                  <c:v>23.857868020304569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B1-49EB-8C1C-945092483D97}"/>
            </c:ext>
          </c:extLst>
        </c:ser>
        <c:ser>
          <c:idx val="1"/>
          <c:order val="1"/>
          <c:tx>
            <c:strRef>
              <c:f>Ratios!$A$12</c:f>
              <c:strCache>
                <c:ptCount val="1"/>
                <c:pt idx="0">
                  <c:v>Marge opérationnelle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Ratios!$B$10:$D$10</c:f>
              <c:strCache>
                <c:ptCount val="3"/>
                <c:pt idx="0">
                  <c:v>N</c:v>
                </c:pt>
                <c:pt idx="1">
                  <c:v>N-1</c:v>
                </c:pt>
                <c:pt idx="2">
                  <c:v>N-2</c:v>
                </c:pt>
              </c:strCache>
            </c:strRef>
          </c:cat>
          <c:val>
            <c:numRef>
              <c:f>Ratios!$B$12:$D$12</c:f>
              <c:numCache>
                <c:formatCode>0%</c:formatCode>
                <c:ptCount val="3"/>
                <c:pt idx="0">
                  <c:v>19.189765458422176</c:v>
                </c:pt>
                <c:pt idx="1">
                  <c:v>16.666666666666664</c:v>
                </c:pt>
                <c:pt idx="2">
                  <c:v>20.050761421319795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0B1-49EB-8C1C-945092483D97}"/>
            </c:ext>
          </c:extLst>
        </c:ser>
        <c:ser>
          <c:idx val="2"/>
          <c:order val="2"/>
          <c:tx>
            <c:strRef>
              <c:f>Ratios!$A$13</c:f>
              <c:strCache>
                <c:ptCount val="1"/>
                <c:pt idx="0">
                  <c:v>Marge nette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Ratios!$B$10:$D$10</c:f>
              <c:strCache>
                <c:ptCount val="3"/>
                <c:pt idx="0">
                  <c:v>N</c:v>
                </c:pt>
                <c:pt idx="1">
                  <c:v>N-1</c:v>
                </c:pt>
                <c:pt idx="2">
                  <c:v>N-2</c:v>
                </c:pt>
              </c:strCache>
            </c:strRef>
          </c:cat>
          <c:val>
            <c:numRef>
              <c:f>Ratios!$B$13:$D$13</c:f>
              <c:numCache>
                <c:formatCode>0%</c:formatCode>
                <c:ptCount val="3"/>
                <c:pt idx="0">
                  <c:v>7.8038379530916844</c:v>
                </c:pt>
                <c:pt idx="1">
                  <c:v>2.8443113772455089</c:v>
                </c:pt>
                <c:pt idx="2">
                  <c:v>5.3299492385786804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E0B1-49EB-8C1C-945092483D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7"/>
        <c:overlap val="-43"/>
        <c:axId val="387969336"/>
        <c:axId val="387966592"/>
      </c:barChart>
      <c:catAx>
        <c:axId val="387969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87966592"/>
        <c:crosses val="autoZero"/>
        <c:auto val="1"/>
        <c:lblAlgn val="ctr"/>
        <c:lblOffset val="100"/>
        <c:noMultiLvlLbl val="0"/>
      </c:catAx>
      <c:valAx>
        <c:axId val="387966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87969336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fr-FR"/>
              <a:t>Ratio de Gestion(Rotation des actifs)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Ratios!$B$14</c:f>
              <c:strCache>
                <c:ptCount val="1"/>
                <c:pt idx="0">
                  <c:v>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Ratios!$A$15</c:f>
              <c:strCache>
                <c:ptCount val="1"/>
                <c:pt idx="0">
                  <c:v>Rotation des actifs</c:v>
                </c:pt>
              </c:strCache>
            </c:strRef>
          </c:cat>
          <c:val>
            <c:numRef>
              <c:f>Ratios!$B$15</c:f>
              <c:numCache>
                <c:formatCode>0%</c:formatCode>
                <c:ptCount val="1"/>
                <c:pt idx="0">
                  <c:v>0.59745222929936304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DCB-446D-9089-9CD4E7C95EC5}"/>
            </c:ext>
          </c:extLst>
        </c:ser>
        <c:ser>
          <c:idx val="1"/>
          <c:order val="1"/>
          <c:tx>
            <c:strRef>
              <c:f>Ratios!$C$14</c:f>
              <c:strCache>
                <c:ptCount val="1"/>
                <c:pt idx="0">
                  <c:v>N-1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Ratios!$A$15</c:f>
              <c:strCache>
                <c:ptCount val="1"/>
                <c:pt idx="0">
                  <c:v>Rotation des actifs</c:v>
                </c:pt>
              </c:strCache>
            </c:strRef>
          </c:cat>
          <c:val>
            <c:numRef>
              <c:f>Ratios!$C$15</c:f>
              <c:numCache>
                <c:formatCode>0%</c:formatCode>
                <c:ptCount val="1"/>
                <c:pt idx="0">
                  <c:v>0.54560304927851888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DCB-446D-9089-9CD4E7C95EC5}"/>
            </c:ext>
          </c:extLst>
        </c:ser>
        <c:ser>
          <c:idx val="2"/>
          <c:order val="2"/>
          <c:tx>
            <c:strRef>
              <c:f>Ratios!$D$14</c:f>
              <c:strCache>
                <c:ptCount val="1"/>
                <c:pt idx="0">
                  <c:v>N-2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Ratios!$A$15</c:f>
              <c:strCache>
                <c:ptCount val="1"/>
                <c:pt idx="0">
                  <c:v>Rotation des actifs</c:v>
                </c:pt>
              </c:strCache>
            </c:strRef>
          </c:cat>
          <c:val>
            <c:numRef>
              <c:f>Ratios!$D$15</c:f>
              <c:numCache>
                <c:formatCode>0%</c:formatCode>
                <c:ptCount val="1"/>
                <c:pt idx="0">
                  <c:v>0.59265944645006019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3DCB-446D-9089-9CD4E7C95E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387972472"/>
        <c:axId val="387965416"/>
      </c:barChart>
      <c:catAx>
        <c:axId val="387972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87965416"/>
        <c:crosses val="autoZero"/>
        <c:auto val="1"/>
        <c:lblAlgn val="ctr"/>
        <c:lblOffset val="100"/>
        <c:noMultiLvlLbl val="0"/>
      </c:catAx>
      <c:valAx>
        <c:axId val="387965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87972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Ratio de Gestion(DS0)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Ratios!$A$16</c:f>
              <c:strCache>
                <c:ptCount val="1"/>
                <c:pt idx="0">
                  <c:v>Délai moyen de recouvrement des créances (DSO)</c:v>
                </c:pt>
              </c:strCache>
            </c:strRef>
          </c:cat>
          <c:val>
            <c:numRef>
              <c:f>Ratios!$B$16</c:f>
              <c:numCache>
                <c:formatCode>#\ ##0_ ;[Red]\-#\ ##0\ </c:formatCode>
                <c:ptCount val="1"/>
                <c:pt idx="0">
                  <c:v>51.987206823027719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606-405B-8BDD-C07D2E80723E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Ratios!$A$16</c:f>
              <c:strCache>
                <c:ptCount val="1"/>
                <c:pt idx="0">
                  <c:v>Délai moyen de recouvrement des créances (DSO)</c:v>
                </c:pt>
              </c:strCache>
            </c:strRef>
          </c:cat>
          <c:val>
            <c:numRef>
              <c:f>Ratios!$C$16</c:f>
              <c:numCache>
                <c:formatCode>#\ ##0_ ;[Red]\-#\ ##0\ </c:formatCode>
                <c:ptCount val="1"/>
                <c:pt idx="0">
                  <c:v>50.633732534930139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606-405B-8BDD-C07D2E80723E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Ratios!$A$16</c:f>
              <c:strCache>
                <c:ptCount val="1"/>
                <c:pt idx="0">
                  <c:v>Délai moyen de recouvrement des créances (DSO)</c:v>
                </c:pt>
              </c:strCache>
            </c:strRef>
          </c:cat>
          <c:val>
            <c:numRef>
              <c:f>Ratios!$D$16</c:f>
              <c:numCache>
                <c:formatCode>#\ ##0_ ;[Red]\-#\ ##0\ </c:formatCode>
                <c:ptCount val="1"/>
                <c:pt idx="0">
                  <c:v>47.246192893401016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E606-405B-8BDD-C07D2E80723E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Ratios!$A$16</c:f>
              <c:strCache>
                <c:ptCount val="1"/>
                <c:pt idx="0">
                  <c:v>Délai moyen de recouvrement des créances (DSO)</c:v>
                </c:pt>
              </c:strCache>
            </c:strRef>
          </c:cat>
          <c:val>
            <c:numRef>
              <c:f>Ratios!$E$16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E606-405B-8BDD-C07D2E80723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387966200"/>
        <c:axId val="387967768"/>
      </c:barChart>
      <c:catAx>
        <c:axId val="387966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87967768"/>
        <c:crosses val="autoZero"/>
        <c:auto val="1"/>
        <c:lblAlgn val="ctr"/>
        <c:lblOffset val="100"/>
        <c:noMultiLvlLbl val="0"/>
      </c:catAx>
      <c:valAx>
        <c:axId val="387967768"/>
        <c:scaling>
          <c:orientation val="minMax"/>
        </c:scaling>
        <c:delete val="1"/>
        <c:axPos val="l"/>
        <c:numFmt formatCode="#\ ##0_ ;[Red]\-#\ ##0\ " sourceLinked="1"/>
        <c:majorTickMark val="none"/>
        <c:minorTickMark val="none"/>
        <c:tickLblPos val="nextTo"/>
        <c:crossAx val="387966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556260</xdr:colOff>
      <xdr:row>21</xdr:row>
      <xdr:rowOff>11430</xdr:rowOff>
    </xdr:from>
    <xdr:to>
      <xdr:col>3</xdr:col>
      <xdr:colOff>769620</xdr:colOff>
      <xdr:row>37</xdr:row>
      <xdr:rowOff>68580</xdr:rowOff>
    </xdr:to>
    <xdr:graphicFrame macro="">
      <xdr:nvGraphicFramePr>
        <xdr:cNvPr id="5" name="Graphique 4">
          <a:extLst>
            <a:ext uri="{FF2B5EF4-FFF2-40B4-BE49-F238E27FC236}">
              <a16:creationId xmlns="" xmlns:a16="http://schemas.microsoft.com/office/drawing/2014/main" id="{6B756BFD-14D1-731C-857F-70DA39BDC9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434340</xdr:colOff>
      <xdr:row>37</xdr:row>
      <xdr:rowOff>102870</xdr:rowOff>
    </xdr:from>
    <xdr:to>
      <xdr:col>4</xdr:col>
      <xdr:colOff>15240</xdr:colOff>
      <xdr:row>54</xdr:row>
      <xdr:rowOff>91440</xdr:rowOff>
    </xdr:to>
    <xdr:graphicFrame macro="">
      <xdr:nvGraphicFramePr>
        <xdr:cNvPr id="7" name="Graphique 6">
          <a:extLst>
            <a:ext uri="{FF2B5EF4-FFF2-40B4-BE49-F238E27FC236}">
              <a16:creationId xmlns="" xmlns:a16="http://schemas.microsoft.com/office/drawing/2014/main" id="{C2F691E2-F943-2C84-2532-9B89117B05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541020</xdr:colOff>
      <xdr:row>55</xdr:row>
      <xdr:rowOff>60960</xdr:rowOff>
    </xdr:from>
    <xdr:to>
      <xdr:col>4</xdr:col>
      <xdr:colOff>68580</xdr:colOff>
      <xdr:row>71</xdr:row>
      <xdr:rowOff>106680</xdr:rowOff>
    </xdr:to>
    <xdr:graphicFrame macro="">
      <xdr:nvGraphicFramePr>
        <xdr:cNvPr id="8" name="Graphique 7">
          <a:extLst>
            <a:ext uri="{FF2B5EF4-FFF2-40B4-BE49-F238E27FC236}">
              <a16:creationId xmlns="" xmlns:a16="http://schemas.microsoft.com/office/drawing/2014/main" id="{B15308D0-0B6A-596A-7272-8A09FB81EC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205740</xdr:colOff>
      <xdr:row>20</xdr:row>
      <xdr:rowOff>72390</xdr:rowOff>
    </xdr:from>
    <xdr:to>
      <xdr:col>12</xdr:col>
      <xdr:colOff>205740</xdr:colOff>
      <xdr:row>37</xdr:row>
      <xdr:rowOff>76200</xdr:rowOff>
    </xdr:to>
    <xdr:graphicFrame macro="">
      <xdr:nvGraphicFramePr>
        <xdr:cNvPr id="9" name="Graphique 8">
          <a:extLst>
            <a:ext uri="{FF2B5EF4-FFF2-40B4-BE49-F238E27FC236}">
              <a16:creationId xmlns="" xmlns:a16="http://schemas.microsoft.com/office/drawing/2014/main" id="{309DCB57-3C35-2591-583F-13CB23BDAC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152400</xdr:colOff>
      <xdr:row>38</xdr:row>
      <xdr:rowOff>140970</xdr:rowOff>
    </xdr:from>
    <xdr:to>
      <xdr:col>12</xdr:col>
      <xdr:colOff>327660</xdr:colOff>
      <xdr:row>53</xdr:row>
      <xdr:rowOff>140970</xdr:rowOff>
    </xdr:to>
    <xdr:graphicFrame macro="">
      <xdr:nvGraphicFramePr>
        <xdr:cNvPr id="10" name="Graphique 9">
          <a:extLst>
            <a:ext uri="{FF2B5EF4-FFF2-40B4-BE49-F238E27FC236}">
              <a16:creationId xmlns="" xmlns:a16="http://schemas.microsoft.com/office/drawing/2014/main" id="{89FCD58C-E3AC-49C8-586E-58FB19760C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83820</xdr:colOff>
      <xdr:row>55</xdr:row>
      <xdr:rowOff>26670</xdr:rowOff>
    </xdr:from>
    <xdr:to>
      <xdr:col>12</xdr:col>
      <xdr:colOff>403860</xdr:colOff>
      <xdr:row>74</xdr:row>
      <xdr:rowOff>15240</xdr:rowOff>
    </xdr:to>
    <xdr:graphicFrame macro="">
      <xdr:nvGraphicFramePr>
        <xdr:cNvPr id="11" name="Graphique 10">
          <a:extLst>
            <a:ext uri="{FF2B5EF4-FFF2-40B4-BE49-F238E27FC236}">
              <a16:creationId xmlns="" xmlns:a16="http://schemas.microsoft.com/office/drawing/2014/main" id="{147D490E-50BB-7AB3-02DD-DA65E26C62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Views>
    <sheetView tabSelected="1" zoomScale="70" zoomScaleNormal="70" workbookViewId="0">
      <selection activeCell="J26" sqref="J26"/>
    </sheetView>
  </sheetViews>
  <sheetFormatPr baseColWidth="10" defaultColWidth="11.453125" defaultRowHeight="14.5" x14ac:dyDescent="0.35"/>
  <cols>
    <col min="1" max="1" width="35.90625" bestFit="1" customWidth="1"/>
    <col min="2" max="2" width="14.36328125" style="1" customWidth="1"/>
    <col min="3" max="3" width="15.08984375" customWidth="1"/>
    <col min="4" max="4" width="15.1796875" customWidth="1"/>
    <col min="10" max="10" width="14.1796875" customWidth="1"/>
    <col min="11" max="11" width="14.08984375" customWidth="1"/>
    <col min="12" max="12" width="14" customWidth="1"/>
  </cols>
  <sheetData>
    <row r="1" spans="1:4" s="20" customFormat="1" ht="18.5" x14ac:dyDescent="0.45">
      <c r="A1" s="19" t="s">
        <v>0</v>
      </c>
      <c r="B1" s="19" t="s">
        <v>58</v>
      </c>
      <c r="C1" s="21" t="s">
        <v>59</v>
      </c>
      <c r="D1" s="21" t="s">
        <v>60</v>
      </c>
    </row>
    <row r="2" spans="1:4" ht="18.75" customHeight="1" x14ac:dyDescent="0.35">
      <c r="A2" s="11" t="s">
        <v>1</v>
      </c>
      <c r="B2" s="16"/>
      <c r="C2" s="15"/>
      <c r="D2" s="15"/>
    </row>
    <row r="3" spans="1:4" ht="22.5" customHeight="1" x14ac:dyDescent="0.35">
      <c r="A3" s="11" t="s">
        <v>2</v>
      </c>
      <c r="B3" s="26">
        <f>B4+B5+B6+B7</f>
        <v>1107</v>
      </c>
      <c r="C3" s="26">
        <f t="shared" ref="C3:D3" si="0">C4+C5+C6+C7</f>
        <v>775</v>
      </c>
      <c r="D3" s="26">
        <f t="shared" si="0"/>
        <v>681</v>
      </c>
    </row>
    <row r="4" spans="1:4" ht="15.5" x14ac:dyDescent="0.35">
      <c r="A4" s="16" t="s">
        <v>3</v>
      </c>
      <c r="B4" s="17">
        <v>635</v>
      </c>
      <c r="C4" s="17">
        <v>343</v>
      </c>
      <c r="D4" s="17">
        <v>325</v>
      </c>
    </row>
    <row r="5" spans="1:4" ht="15.5" x14ac:dyDescent="0.35">
      <c r="A5" s="16" t="s">
        <v>4</v>
      </c>
      <c r="B5" s="17">
        <f>Actif!B27</f>
        <v>449</v>
      </c>
      <c r="C5" s="17">
        <f>Actif!C27</f>
        <v>409</v>
      </c>
      <c r="D5" s="17">
        <f>Actif!D27</f>
        <v>333</v>
      </c>
    </row>
    <row r="6" spans="1:4" ht="15.5" x14ac:dyDescent="0.35">
      <c r="A6" s="16" t="s">
        <v>5</v>
      </c>
      <c r="B6" s="17">
        <v>23</v>
      </c>
      <c r="C6" s="17">
        <v>23</v>
      </c>
      <c r="D6" s="17">
        <v>23</v>
      </c>
    </row>
    <row r="7" spans="1:4" ht="15.5" x14ac:dyDescent="0.35">
      <c r="A7" s="16" t="s">
        <v>6</v>
      </c>
      <c r="B7" s="17">
        <v>0</v>
      </c>
      <c r="C7" s="17">
        <v>0</v>
      </c>
      <c r="D7" s="17">
        <v>0</v>
      </c>
    </row>
    <row r="8" spans="1:4" ht="15.5" x14ac:dyDescent="0.35">
      <c r="A8" s="11" t="s">
        <v>7</v>
      </c>
      <c r="B8" s="26">
        <f>B9+B10+B11</f>
        <v>2126</v>
      </c>
      <c r="C8" s="26">
        <f t="shared" ref="C8:D8" si="1">C9+C10+C11</f>
        <v>2314</v>
      </c>
      <c r="D8" s="26">
        <f t="shared" si="1"/>
        <v>2266</v>
      </c>
    </row>
    <row r="9" spans="1:4" ht="15.5" x14ac:dyDescent="0.35">
      <c r="A9" s="16" t="s">
        <v>8</v>
      </c>
      <c r="B9" s="17">
        <v>658</v>
      </c>
      <c r="C9" s="17">
        <v>634</v>
      </c>
      <c r="D9" s="17">
        <v>546</v>
      </c>
    </row>
    <row r="10" spans="1:4" ht="15.5" x14ac:dyDescent="0.35">
      <c r="A10" s="16" t="s">
        <v>9</v>
      </c>
      <c r="B10" s="17">
        <v>1456</v>
      </c>
      <c r="C10" s="17">
        <v>1665</v>
      </c>
      <c r="D10" s="17">
        <v>1700</v>
      </c>
    </row>
    <row r="11" spans="1:4" ht="15.5" x14ac:dyDescent="0.35">
      <c r="A11" s="16" t="s">
        <v>10</v>
      </c>
      <c r="B11" s="17">
        <v>12</v>
      </c>
      <c r="C11" s="17">
        <v>15</v>
      </c>
      <c r="D11" s="17">
        <v>20</v>
      </c>
    </row>
    <row r="12" spans="1:4" ht="15.5" x14ac:dyDescent="0.35">
      <c r="A12" s="11" t="s">
        <v>11</v>
      </c>
      <c r="B12" s="26">
        <f>SUM(B13:B14)</f>
        <v>243</v>
      </c>
      <c r="C12" s="26">
        <f t="shared" ref="C12:D12" si="2">SUM(C13:C14)</f>
        <v>175</v>
      </c>
      <c r="D12" s="26">
        <f t="shared" si="2"/>
        <v>44</v>
      </c>
    </row>
    <row r="13" spans="1:4" ht="15.5" x14ac:dyDescent="0.35">
      <c r="A13" s="16" t="s">
        <v>12</v>
      </c>
      <c r="B13" s="17">
        <v>243</v>
      </c>
      <c r="C13" s="17">
        <v>175</v>
      </c>
      <c r="D13" s="17">
        <v>44</v>
      </c>
    </row>
    <row r="14" spans="1:4" ht="15.5" x14ac:dyDescent="0.35">
      <c r="A14" s="16" t="s">
        <v>13</v>
      </c>
      <c r="B14" s="17">
        <v>0</v>
      </c>
      <c r="C14" s="17">
        <v>0</v>
      </c>
      <c r="D14" s="17">
        <v>0</v>
      </c>
    </row>
    <row r="15" spans="1:4" ht="15.5" x14ac:dyDescent="0.35">
      <c r="A15" s="11" t="s">
        <v>14</v>
      </c>
      <c r="B15" s="26">
        <f>B3+B8+B12</f>
        <v>3476</v>
      </c>
      <c r="C15" s="26">
        <f t="shared" ref="C15" si="3">C3+C8+C12</f>
        <v>3264</v>
      </c>
      <c r="D15" s="26">
        <f>D3+D8+D12</f>
        <v>2991</v>
      </c>
    </row>
    <row r="16" spans="1:4" ht="15.5" x14ac:dyDescent="0.35">
      <c r="A16" s="11" t="s">
        <v>15</v>
      </c>
      <c r="B16" s="18"/>
      <c r="C16" s="18"/>
      <c r="D16" s="18"/>
    </row>
    <row r="17" spans="1:12" ht="15.5" x14ac:dyDescent="0.35">
      <c r="A17" s="11" t="s">
        <v>16</v>
      </c>
      <c r="B17" s="26">
        <f>SUM(B18:B19)</f>
        <v>66</v>
      </c>
      <c r="C17" s="26">
        <f t="shared" ref="C17:D17" si="4">SUM(C18:C19)</f>
        <v>91</v>
      </c>
      <c r="D17" s="26">
        <f t="shared" si="4"/>
        <v>43</v>
      </c>
    </row>
    <row r="18" spans="1:12" ht="15.5" x14ac:dyDescent="0.35">
      <c r="A18" s="16" t="s">
        <v>17</v>
      </c>
      <c r="B18" s="17">
        <v>22</v>
      </c>
      <c r="C18" s="17">
        <v>24</v>
      </c>
      <c r="D18" s="17">
        <v>18</v>
      </c>
    </row>
    <row r="19" spans="1:12" ht="15.5" x14ac:dyDescent="0.35">
      <c r="A19" s="16" t="s">
        <v>18</v>
      </c>
      <c r="B19" s="17">
        <v>44</v>
      </c>
      <c r="C19" s="17">
        <v>67</v>
      </c>
      <c r="D19" s="17">
        <v>25</v>
      </c>
    </row>
    <row r="20" spans="1:12" ht="15.5" x14ac:dyDescent="0.35">
      <c r="A20" s="11" t="s">
        <v>19</v>
      </c>
      <c r="B20" s="26">
        <f>B21</f>
        <v>334</v>
      </c>
      <c r="C20" s="26">
        <f t="shared" ref="C20:D20" si="5">C21</f>
        <v>278</v>
      </c>
      <c r="D20" s="26">
        <f t="shared" si="5"/>
        <v>255</v>
      </c>
    </row>
    <row r="21" spans="1:12" ht="15.5" x14ac:dyDescent="0.35">
      <c r="A21" s="16" t="s">
        <v>20</v>
      </c>
      <c r="B21" s="17">
        <v>334</v>
      </c>
      <c r="C21" s="17">
        <v>278</v>
      </c>
      <c r="D21" s="17">
        <v>255</v>
      </c>
    </row>
    <row r="22" spans="1:12" ht="15.5" x14ac:dyDescent="0.35">
      <c r="A22" s="11" t="s">
        <v>21</v>
      </c>
      <c r="B22" s="26">
        <f>B23+B24</f>
        <v>15</v>
      </c>
      <c r="C22" s="26">
        <f t="shared" ref="C22:D22" si="6">C23+C24</f>
        <v>10</v>
      </c>
      <c r="D22" s="26">
        <f t="shared" si="6"/>
        <v>15</v>
      </c>
    </row>
    <row r="23" spans="1:12" ht="15.5" x14ac:dyDescent="0.35">
      <c r="A23" s="16" t="s">
        <v>22</v>
      </c>
      <c r="B23" s="17">
        <v>0</v>
      </c>
      <c r="C23" s="17">
        <v>0</v>
      </c>
      <c r="D23" s="17">
        <v>0</v>
      </c>
    </row>
    <row r="24" spans="1:12" ht="15.5" x14ac:dyDescent="0.35">
      <c r="A24" s="16" t="s">
        <v>23</v>
      </c>
      <c r="B24" s="17">
        <v>15</v>
      </c>
      <c r="C24" s="17">
        <v>10</v>
      </c>
      <c r="D24" s="17">
        <v>15</v>
      </c>
    </row>
    <row r="25" spans="1:12" ht="15.5" x14ac:dyDescent="0.35">
      <c r="A25" s="11" t="s">
        <v>24</v>
      </c>
      <c r="B25" s="26">
        <f>B26</f>
        <v>34</v>
      </c>
      <c r="C25" s="26">
        <f t="shared" ref="C25:D25" si="7">C26</f>
        <v>30</v>
      </c>
      <c r="D25" s="26">
        <f t="shared" si="7"/>
        <v>20</v>
      </c>
    </row>
    <row r="26" spans="1:12" ht="15.5" x14ac:dyDescent="0.35">
      <c r="A26" s="16" t="s">
        <v>25</v>
      </c>
      <c r="B26" s="17">
        <v>34</v>
      </c>
      <c r="C26" s="17">
        <v>30</v>
      </c>
      <c r="D26" s="17">
        <v>20</v>
      </c>
      <c r="J26" s="29">
        <f>B28-Passif!B31</f>
        <v>0</v>
      </c>
      <c r="K26" s="29">
        <f>C28-Passif!C31</f>
        <v>0</v>
      </c>
      <c r="L26" s="29">
        <f>D28-Passif!D31</f>
        <v>0</v>
      </c>
    </row>
    <row r="27" spans="1:12" ht="15.5" x14ac:dyDescent="0.35">
      <c r="A27" s="11" t="s">
        <v>26</v>
      </c>
      <c r="B27" s="26">
        <f>B17+B20+B22+B25</f>
        <v>449</v>
      </c>
      <c r="C27" s="26">
        <f t="shared" ref="C27:D27" si="8">C17+C20+C22+C25</f>
        <v>409</v>
      </c>
      <c r="D27" s="26">
        <f t="shared" si="8"/>
        <v>333</v>
      </c>
    </row>
    <row r="28" spans="1:12" ht="15.5" x14ac:dyDescent="0.35">
      <c r="A28" s="11" t="s">
        <v>27</v>
      </c>
      <c r="B28" s="26">
        <f>B15+B27</f>
        <v>3925</v>
      </c>
      <c r="C28" s="26">
        <f t="shared" ref="C28:D28" si="9">C15+C27</f>
        <v>3673</v>
      </c>
      <c r="D28" s="26">
        <f t="shared" si="9"/>
        <v>3324</v>
      </c>
    </row>
    <row r="29" spans="1:12" x14ac:dyDescent="0.35">
      <c r="B29" s="2"/>
    </row>
    <row r="30" spans="1:12" x14ac:dyDescent="0.35">
      <c r="B30" s="2"/>
    </row>
    <row r="31" spans="1:12" x14ac:dyDescent="0.35">
      <c r="B3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zoomScale="69" zoomScaleNormal="69" workbookViewId="0">
      <selection activeCell="A29" sqref="A29"/>
    </sheetView>
  </sheetViews>
  <sheetFormatPr baseColWidth="10" defaultRowHeight="14.5" x14ac:dyDescent="0.35"/>
  <cols>
    <col min="1" max="1" width="46" customWidth="1"/>
    <col min="2" max="2" width="11" bestFit="1" customWidth="1"/>
  </cols>
  <sheetData>
    <row r="1" spans="1:4" ht="15.5" x14ac:dyDescent="0.35">
      <c r="A1" s="14" t="s">
        <v>28</v>
      </c>
      <c r="B1" s="14" t="s">
        <v>58</v>
      </c>
      <c r="C1" s="15" t="s">
        <v>59</v>
      </c>
      <c r="D1" s="15" t="s">
        <v>60</v>
      </c>
    </row>
    <row r="2" spans="1:4" ht="15.5" x14ac:dyDescent="0.35">
      <c r="A2" s="11" t="s">
        <v>29</v>
      </c>
      <c r="B2" s="16"/>
      <c r="C2" s="16"/>
      <c r="D2" s="16"/>
    </row>
    <row r="3" spans="1:4" ht="15.5" x14ac:dyDescent="0.35">
      <c r="A3" s="16" t="s">
        <v>30</v>
      </c>
      <c r="B3" s="22">
        <v>1100</v>
      </c>
      <c r="C3" s="22">
        <v>1100</v>
      </c>
      <c r="D3" s="22">
        <v>1100</v>
      </c>
    </row>
    <row r="4" spans="1:4" ht="15.5" x14ac:dyDescent="0.35">
      <c r="A4" s="16" t="s">
        <v>31</v>
      </c>
      <c r="B4" s="22">
        <v>0</v>
      </c>
      <c r="C4" s="22">
        <v>0</v>
      </c>
      <c r="D4" s="22">
        <v>0</v>
      </c>
    </row>
    <row r="5" spans="1:4" ht="15.5" x14ac:dyDescent="0.35">
      <c r="A5" s="16" t="s">
        <v>32</v>
      </c>
      <c r="B5" s="22">
        <v>245</v>
      </c>
      <c r="C5" s="22">
        <v>245</v>
      </c>
      <c r="D5" s="22">
        <v>245</v>
      </c>
    </row>
    <row r="6" spans="1:4" ht="15.5" x14ac:dyDescent="0.35">
      <c r="A6" s="16" t="s">
        <v>33</v>
      </c>
      <c r="B6" s="22">
        <v>0</v>
      </c>
      <c r="C6" s="22">
        <v>0</v>
      </c>
      <c r="D6" s="22">
        <v>0</v>
      </c>
    </row>
    <row r="7" spans="1:4" ht="15.5" x14ac:dyDescent="0.35">
      <c r="A7" s="16" t="s">
        <v>34</v>
      </c>
      <c r="B7" s="22">
        <v>0</v>
      </c>
      <c r="C7" s="22">
        <v>0</v>
      </c>
      <c r="D7" s="22">
        <v>0</v>
      </c>
    </row>
    <row r="8" spans="1:4" ht="15.5" x14ac:dyDescent="0.35">
      <c r="A8" s="16" t="s">
        <v>35</v>
      </c>
      <c r="B8" s="22">
        <v>12</v>
      </c>
      <c r="C8" s="22">
        <v>12</v>
      </c>
      <c r="D8" s="22">
        <v>15</v>
      </c>
    </row>
    <row r="9" spans="1:4" ht="15.5" x14ac:dyDescent="0.35">
      <c r="A9" s="16" t="s">
        <v>36</v>
      </c>
      <c r="B9" s="22">
        <f>'Compte de resultat'!B30</f>
        <v>183</v>
      </c>
      <c r="C9" s="22">
        <f>'Compte de resultat'!C30</f>
        <v>57</v>
      </c>
      <c r="D9" s="22">
        <f>'Compte de resultat'!D30</f>
        <v>105</v>
      </c>
    </row>
    <row r="10" spans="1:4" ht="15.5" x14ac:dyDescent="0.35">
      <c r="A10" s="11" t="s">
        <v>37</v>
      </c>
      <c r="B10" s="27">
        <f>B3+B4+B5+B6+B7+B8+B9</f>
        <v>1540</v>
      </c>
      <c r="C10" s="27">
        <f t="shared" ref="C10:D10" si="0">C3+C4+C5+C6+C7+C8+C9</f>
        <v>1414</v>
      </c>
      <c r="D10" s="27">
        <f t="shared" si="0"/>
        <v>1465</v>
      </c>
    </row>
    <row r="11" spans="1:4" ht="15.5" x14ac:dyDescent="0.35">
      <c r="A11" s="11" t="s">
        <v>38</v>
      </c>
      <c r="B11" s="22"/>
      <c r="C11" s="22"/>
      <c r="D11" s="22"/>
    </row>
    <row r="12" spans="1:4" ht="15.5" x14ac:dyDescent="0.35">
      <c r="A12" s="11" t="s">
        <v>39</v>
      </c>
      <c r="B12" s="27">
        <f>B13+B14</f>
        <v>1450</v>
      </c>
      <c r="C12" s="27">
        <f t="shared" ref="C12:D12" si="1">C13+C14</f>
        <v>1350</v>
      </c>
      <c r="D12" s="27">
        <f t="shared" si="1"/>
        <v>1300</v>
      </c>
    </row>
    <row r="13" spans="1:4" ht="15.5" x14ac:dyDescent="0.35">
      <c r="A13" s="16" t="s">
        <v>40</v>
      </c>
      <c r="B13" s="22">
        <v>1450</v>
      </c>
      <c r="C13" s="22">
        <v>1350</v>
      </c>
      <c r="D13" s="22">
        <v>1300</v>
      </c>
    </row>
    <row r="14" spans="1:4" ht="15.5" x14ac:dyDescent="0.35">
      <c r="A14" s="16" t="s">
        <v>41</v>
      </c>
      <c r="B14" s="22">
        <v>0</v>
      </c>
      <c r="C14" s="22">
        <v>0</v>
      </c>
      <c r="D14" s="22">
        <v>0</v>
      </c>
    </row>
    <row r="15" spans="1:4" ht="15.5" x14ac:dyDescent="0.35">
      <c r="A15" s="11" t="s">
        <v>42</v>
      </c>
      <c r="B15" s="27">
        <f>B16+B17</f>
        <v>0</v>
      </c>
      <c r="C15" s="27">
        <f t="shared" ref="C15:D15" si="2">C16+C17</f>
        <v>0</v>
      </c>
      <c r="D15" s="27">
        <f t="shared" si="2"/>
        <v>0</v>
      </c>
    </row>
    <row r="16" spans="1:4" ht="15.5" x14ac:dyDescent="0.35">
      <c r="A16" s="16" t="s">
        <v>43</v>
      </c>
      <c r="B16" s="22">
        <v>0</v>
      </c>
      <c r="C16" s="22">
        <v>0</v>
      </c>
      <c r="D16" s="22">
        <v>0</v>
      </c>
    </row>
    <row r="17" spans="1:4" ht="15.5" x14ac:dyDescent="0.35">
      <c r="A17" s="16" t="s">
        <v>44</v>
      </c>
      <c r="B17" s="22">
        <v>0</v>
      </c>
      <c r="C17" s="22">
        <v>0</v>
      </c>
      <c r="D17" s="22">
        <v>0</v>
      </c>
    </row>
    <row r="18" spans="1:4" ht="15.5" x14ac:dyDescent="0.35">
      <c r="A18" s="11" t="s">
        <v>45</v>
      </c>
      <c r="B18" s="27">
        <f>B12+B15</f>
        <v>1450</v>
      </c>
      <c r="C18" s="27">
        <f t="shared" ref="C18:D18" si="3">C12+C15</f>
        <v>1350</v>
      </c>
      <c r="D18" s="27">
        <f t="shared" si="3"/>
        <v>1300</v>
      </c>
    </row>
    <row r="19" spans="1:4" ht="15.5" x14ac:dyDescent="0.35">
      <c r="A19" s="11" t="s">
        <v>46</v>
      </c>
      <c r="B19" s="22"/>
      <c r="C19" s="22"/>
      <c r="D19" s="22"/>
    </row>
    <row r="20" spans="1:4" ht="15.5" x14ac:dyDescent="0.35">
      <c r="A20" s="11" t="s">
        <v>47</v>
      </c>
      <c r="B20" s="27">
        <f>B21</f>
        <v>11</v>
      </c>
      <c r="C20" s="27">
        <f t="shared" ref="C20:D20" si="4">C21</f>
        <v>8</v>
      </c>
      <c r="D20" s="27">
        <f t="shared" si="4"/>
        <v>5</v>
      </c>
    </row>
    <row r="21" spans="1:4" ht="15.5" x14ac:dyDescent="0.35">
      <c r="A21" s="16" t="s">
        <v>48</v>
      </c>
      <c r="B21" s="22">
        <v>11</v>
      </c>
      <c r="C21" s="22">
        <v>8</v>
      </c>
      <c r="D21" s="22">
        <v>5</v>
      </c>
    </row>
    <row r="22" spans="1:4" ht="15.5" x14ac:dyDescent="0.35">
      <c r="A22" s="11" t="s">
        <v>49</v>
      </c>
      <c r="B22" s="27">
        <f>B23+B24</f>
        <v>38</v>
      </c>
      <c r="C22" s="27">
        <f t="shared" ref="C22:D22" si="5">C23+C24</f>
        <v>18</v>
      </c>
      <c r="D22" s="27">
        <f t="shared" si="5"/>
        <v>45</v>
      </c>
    </row>
    <row r="23" spans="1:4" ht="15.5" x14ac:dyDescent="0.35">
      <c r="A23" s="16" t="s">
        <v>50</v>
      </c>
      <c r="B23" s="22">
        <v>23</v>
      </c>
      <c r="C23" s="22">
        <v>13</v>
      </c>
      <c r="D23" s="22">
        <v>10</v>
      </c>
    </row>
    <row r="24" spans="1:4" ht="15.5" x14ac:dyDescent="0.35">
      <c r="A24" s="16" t="s">
        <v>51</v>
      </c>
      <c r="B24" s="22">
        <v>15</v>
      </c>
      <c r="C24" s="22">
        <v>5</v>
      </c>
      <c r="D24" s="22">
        <v>35</v>
      </c>
    </row>
    <row r="25" spans="1:4" ht="15.5" x14ac:dyDescent="0.35">
      <c r="A25" s="11" t="s">
        <v>52</v>
      </c>
      <c r="B25" s="27">
        <f>B26</f>
        <v>875</v>
      </c>
      <c r="C25" s="27">
        <f t="shared" ref="C25:D25" si="6">C26</f>
        <v>763</v>
      </c>
      <c r="D25" s="27">
        <f t="shared" si="6"/>
        <v>404</v>
      </c>
    </row>
    <row r="26" spans="1:4" ht="15.5" x14ac:dyDescent="0.35">
      <c r="A26" s="16" t="s">
        <v>40</v>
      </c>
      <c r="B26" s="22">
        <v>875</v>
      </c>
      <c r="C26" s="22">
        <v>763</v>
      </c>
      <c r="D26" s="22">
        <v>404</v>
      </c>
    </row>
    <row r="27" spans="1:4" ht="15.5" x14ac:dyDescent="0.35">
      <c r="A27" s="11" t="s">
        <v>53</v>
      </c>
      <c r="B27" s="27">
        <f>B28+B29</f>
        <v>11</v>
      </c>
      <c r="C27" s="27">
        <f t="shared" ref="C27:D27" si="7">C28+C29</f>
        <v>120</v>
      </c>
      <c r="D27" s="27">
        <f t="shared" si="7"/>
        <v>105</v>
      </c>
    </row>
    <row r="28" spans="1:4" ht="15.5" x14ac:dyDescent="0.35">
      <c r="A28" s="16" t="s">
        <v>54</v>
      </c>
      <c r="B28" s="22">
        <v>11</v>
      </c>
      <c r="C28" s="22">
        <v>120</v>
      </c>
      <c r="D28" s="22">
        <v>105</v>
      </c>
    </row>
    <row r="29" spans="1:4" ht="15.5" x14ac:dyDescent="0.35">
      <c r="A29" s="16" t="s">
        <v>55</v>
      </c>
      <c r="B29" s="22">
        <v>0</v>
      </c>
      <c r="C29" s="22">
        <v>0</v>
      </c>
      <c r="D29" s="22">
        <v>0</v>
      </c>
    </row>
    <row r="30" spans="1:4" ht="15.5" x14ac:dyDescent="0.35">
      <c r="A30" s="11" t="s">
        <v>56</v>
      </c>
      <c r="B30" s="27">
        <f>B20+B22+B25+B27</f>
        <v>935</v>
      </c>
      <c r="C30" s="27">
        <f t="shared" ref="C30:D30" si="8">C20+C22+C25+C27</f>
        <v>909</v>
      </c>
      <c r="D30" s="27">
        <f t="shared" si="8"/>
        <v>559</v>
      </c>
    </row>
    <row r="31" spans="1:4" ht="15.5" x14ac:dyDescent="0.35">
      <c r="A31" s="11" t="s">
        <v>57</v>
      </c>
      <c r="B31" s="27">
        <f>B10+B18+B30</f>
        <v>3925</v>
      </c>
      <c r="C31" s="27">
        <f t="shared" ref="C31:D31" si="9">C10+C18+C30</f>
        <v>3673</v>
      </c>
      <c r="D31" s="27">
        <f t="shared" si="9"/>
        <v>3324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zoomScale="72" zoomScaleNormal="72" workbookViewId="0"/>
  </sheetViews>
  <sheetFormatPr baseColWidth="10" defaultRowHeight="14.5" x14ac:dyDescent="0.35"/>
  <cols>
    <col min="1" max="1" width="34.6328125" bestFit="1" customWidth="1"/>
    <col min="2" max="2" width="11.453125" style="1"/>
  </cols>
  <sheetData>
    <row r="1" spans="1:4" x14ac:dyDescent="0.35">
      <c r="A1" s="9" t="s">
        <v>61</v>
      </c>
      <c r="B1" s="9" t="s">
        <v>58</v>
      </c>
      <c r="C1" s="10" t="s">
        <v>59</v>
      </c>
      <c r="D1" s="10" t="s">
        <v>60</v>
      </c>
    </row>
    <row r="2" spans="1:4" ht="15.5" x14ac:dyDescent="0.35">
      <c r="A2" s="11" t="s">
        <v>62</v>
      </c>
      <c r="B2" s="23"/>
      <c r="C2" s="10"/>
      <c r="D2" s="10"/>
    </row>
    <row r="3" spans="1:4" x14ac:dyDescent="0.35">
      <c r="A3" s="13" t="s">
        <v>63</v>
      </c>
      <c r="B3" s="25">
        <f>B4+B5</f>
        <v>2345</v>
      </c>
      <c r="C3" s="25">
        <f t="shared" ref="C3:D3" si="0">C4+C5</f>
        <v>2004</v>
      </c>
      <c r="D3" s="25">
        <f t="shared" si="0"/>
        <v>1970</v>
      </c>
    </row>
    <row r="4" spans="1:4" x14ac:dyDescent="0.35">
      <c r="A4" s="12" t="s">
        <v>64</v>
      </c>
      <c r="B4" s="24">
        <v>2345</v>
      </c>
      <c r="C4" s="24">
        <v>2004</v>
      </c>
      <c r="D4" s="24">
        <v>1970</v>
      </c>
    </row>
    <row r="5" spans="1:4" x14ac:dyDescent="0.35">
      <c r="A5" s="12" t="s">
        <v>65</v>
      </c>
      <c r="B5" s="24">
        <v>0</v>
      </c>
      <c r="C5" s="24">
        <v>0</v>
      </c>
      <c r="D5" s="24">
        <v>0</v>
      </c>
    </row>
    <row r="6" spans="1:4" x14ac:dyDescent="0.35">
      <c r="A6" s="13" t="s">
        <v>66</v>
      </c>
      <c r="B6" s="25">
        <f>B7+B8</f>
        <v>2345</v>
      </c>
      <c r="C6" s="25">
        <f t="shared" ref="C6:D6" si="1">C7+C8</f>
        <v>1854</v>
      </c>
      <c r="D6" s="25">
        <f t="shared" si="1"/>
        <v>2005</v>
      </c>
    </row>
    <row r="7" spans="1:4" x14ac:dyDescent="0.35">
      <c r="A7" s="12" t="s">
        <v>67</v>
      </c>
      <c r="B7" s="24">
        <v>2345</v>
      </c>
      <c r="C7" s="24">
        <v>1854</v>
      </c>
      <c r="D7" s="24">
        <v>2005</v>
      </c>
    </row>
    <row r="8" spans="1:4" x14ac:dyDescent="0.35">
      <c r="A8" s="12" t="s">
        <v>68</v>
      </c>
      <c r="B8" s="24">
        <v>0</v>
      </c>
      <c r="C8" s="24">
        <v>0</v>
      </c>
      <c r="D8" s="24">
        <v>0</v>
      </c>
    </row>
    <row r="9" spans="1:4" ht="15.5" x14ac:dyDescent="0.35">
      <c r="A9" s="11" t="s">
        <v>69</v>
      </c>
      <c r="B9" s="25">
        <f>B3+B7+B8</f>
        <v>4690</v>
      </c>
      <c r="C9" s="25">
        <f t="shared" ref="C9:D9" si="2">C3+C7+C8</f>
        <v>3858</v>
      </c>
      <c r="D9" s="25">
        <f t="shared" si="2"/>
        <v>3975</v>
      </c>
    </row>
    <row r="10" spans="1:4" x14ac:dyDescent="0.35">
      <c r="A10" s="13" t="s">
        <v>70</v>
      </c>
      <c r="B10" s="24"/>
      <c r="C10" s="10"/>
      <c r="D10" s="10"/>
    </row>
    <row r="11" spans="1:4" x14ac:dyDescent="0.35">
      <c r="A11" s="13" t="s">
        <v>71</v>
      </c>
      <c r="B11" s="25">
        <f>B12+B13</f>
        <v>1750</v>
      </c>
      <c r="C11" s="25">
        <f t="shared" ref="C11:D11" si="3">C12+C13</f>
        <v>1570</v>
      </c>
      <c r="D11" s="25">
        <f t="shared" si="3"/>
        <v>1500</v>
      </c>
    </row>
    <row r="12" spans="1:4" x14ac:dyDescent="0.35">
      <c r="A12" s="12" t="s">
        <v>72</v>
      </c>
      <c r="B12" s="24">
        <v>1750</v>
      </c>
      <c r="C12" s="24">
        <v>1570</v>
      </c>
      <c r="D12" s="24">
        <v>1500</v>
      </c>
    </row>
    <row r="13" spans="1:4" x14ac:dyDescent="0.35">
      <c r="A13" s="12" t="s">
        <v>73</v>
      </c>
      <c r="B13" s="24">
        <v>0</v>
      </c>
      <c r="C13" s="24">
        <v>0</v>
      </c>
      <c r="D13" s="24">
        <v>0</v>
      </c>
    </row>
    <row r="14" spans="1:4" x14ac:dyDescent="0.35">
      <c r="A14" s="13" t="s">
        <v>74</v>
      </c>
      <c r="B14" s="25">
        <f>B15+B16+B17</f>
        <v>2490</v>
      </c>
      <c r="C14" s="25">
        <f t="shared" ref="C14:D14" si="4">C15+C16+C17</f>
        <v>1954</v>
      </c>
      <c r="D14" s="25">
        <f t="shared" si="4"/>
        <v>2080</v>
      </c>
    </row>
    <row r="15" spans="1:4" x14ac:dyDescent="0.35">
      <c r="A15" s="12" t="s">
        <v>75</v>
      </c>
      <c r="B15" s="24">
        <v>754</v>
      </c>
      <c r="C15" s="24">
        <v>740</v>
      </c>
      <c r="D15" s="24">
        <v>735</v>
      </c>
    </row>
    <row r="16" spans="1:4" x14ac:dyDescent="0.35">
      <c r="A16" s="12" t="s">
        <v>76</v>
      </c>
      <c r="B16" s="24">
        <v>980</v>
      </c>
      <c r="C16" s="24">
        <v>980</v>
      </c>
      <c r="D16" s="24">
        <v>980</v>
      </c>
    </row>
    <row r="17" spans="1:4" x14ac:dyDescent="0.35">
      <c r="A17" s="12" t="s">
        <v>77</v>
      </c>
      <c r="B17" s="24">
        <v>756</v>
      </c>
      <c r="C17" s="24">
        <v>234</v>
      </c>
      <c r="D17" s="24">
        <v>365</v>
      </c>
    </row>
    <row r="18" spans="1:4" x14ac:dyDescent="0.35">
      <c r="A18" s="13" t="s">
        <v>78</v>
      </c>
      <c r="B18" s="25">
        <f>B19+B20</f>
        <v>0</v>
      </c>
      <c r="C18" s="25">
        <f t="shared" ref="C18:D18" si="5">C19+C20</f>
        <v>0</v>
      </c>
      <c r="D18" s="25">
        <f t="shared" si="5"/>
        <v>0</v>
      </c>
    </row>
    <row r="19" spans="1:4" x14ac:dyDescent="0.35">
      <c r="A19" s="12" t="s">
        <v>79</v>
      </c>
      <c r="B19" s="24">
        <v>0</v>
      </c>
      <c r="C19" s="24">
        <v>0</v>
      </c>
      <c r="D19" s="24">
        <v>0</v>
      </c>
    </row>
    <row r="20" spans="1:4" x14ac:dyDescent="0.35">
      <c r="A20" s="12" t="s">
        <v>80</v>
      </c>
      <c r="B20" s="24">
        <v>0</v>
      </c>
      <c r="C20" s="24">
        <v>0</v>
      </c>
      <c r="D20" s="24">
        <v>0</v>
      </c>
    </row>
    <row r="21" spans="1:4" x14ac:dyDescent="0.35">
      <c r="A21" s="13" t="s">
        <v>81</v>
      </c>
      <c r="B21" s="25">
        <f>B11+B14+B18</f>
        <v>4240</v>
      </c>
      <c r="C21" s="25">
        <f t="shared" ref="C21:D21" si="6">C11+C14+C18</f>
        <v>3524</v>
      </c>
      <c r="D21" s="25">
        <f t="shared" si="6"/>
        <v>3580</v>
      </c>
    </row>
    <row r="22" spans="1:4" x14ac:dyDescent="0.35">
      <c r="A22" s="13" t="s">
        <v>82</v>
      </c>
      <c r="B22" s="25">
        <f>B9-B21</f>
        <v>450</v>
      </c>
      <c r="C22" s="25">
        <f t="shared" ref="C22:D22" si="7">C9-C21</f>
        <v>334</v>
      </c>
      <c r="D22" s="25">
        <f t="shared" si="7"/>
        <v>395</v>
      </c>
    </row>
    <row r="23" spans="1:4" x14ac:dyDescent="0.35">
      <c r="A23" s="13" t="s">
        <v>83</v>
      </c>
      <c r="B23" s="25">
        <f>B24</f>
        <v>0</v>
      </c>
      <c r="C23" s="25">
        <f t="shared" ref="C23:D23" si="8">C24</f>
        <v>0</v>
      </c>
      <c r="D23" s="25">
        <f t="shared" si="8"/>
        <v>0</v>
      </c>
    </row>
    <row r="24" spans="1:4" x14ac:dyDescent="0.35">
      <c r="A24" s="12" t="s">
        <v>84</v>
      </c>
      <c r="B24" s="24">
        <v>0</v>
      </c>
      <c r="C24" s="24">
        <v>0</v>
      </c>
      <c r="D24" s="24">
        <v>0</v>
      </c>
    </row>
    <row r="25" spans="1:4" x14ac:dyDescent="0.35">
      <c r="A25" s="13" t="s">
        <v>85</v>
      </c>
      <c r="B25" s="25">
        <f>B26</f>
        <v>145</v>
      </c>
      <c r="C25" s="25">
        <f t="shared" ref="C25:D25" si="9">C26</f>
        <v>235</v>
      </c>
      <c r="D25" s="25">
        <f t="shared" si="9"/>
        <v>167</v>
      </c>
    </row>
    <row r="26" spans="1:4" x14ac:dyDescent="0.35">
      <c r="A26" s="12" t="s">
        <v>86</v>
      </c>
      <c r="B26" s="24">
        <v>145</v>
      </c>
      <c r="C26" s="24">
        <v>235</v>
      </c>
      <c r="D26" s="24">
        <v>167</v>
      </c>
    </row>
    <row r="27" spans="1:4" x14ac:dyDescent="0.35">
      <c r="A27" s="13" t="s">
        <v>87</v>
      </c>
      <c r="B27" s="25">
        <f>B23-B25</f>
        <v>-145</v>
      </c>
      <c r="C27" s="25">
        <f t="shared" ref="C27:D27" si="10">C23-C25</f>
        <v>-235</v>
      </c>
      <c r="D27" s="25">
        <f t="shared" si="10"/>
        <v>-167</v>
      </c>
    </row>
    <row r="28" spans="1:4" x14ac:dyDescent="0.35">
      <c r="A28" s="13" t="s">
        <v>88</v>
      </c>
      <c r="B28" s="25">
        <f>B22+B27</f>
        <v>305</v>
      </c>
      <c r="C28" s="25">
        <f t="shared" ref="C28:D28" si="11">C22+C27</f>
        <v>99</v>
      </c>
      <c r="D28" s="25">
        <f t="shared" si="11"/>
        <v>228</v>
      </c>
    </row>
    <row r="29" spans="1:4" x14ac:dyDescent="0.35">
      <c r="A29" s="12" t="s">
        <v>89</v>
      </c>
      <c r="B29" s="24">
        <v>122</v>
      </c>
      <c r="C29" s="24">
        <v>42</v>
      </c>
      <c r="D29" s="24">
        <v>123</v>
      </c>
    </row>
    <row r="30" spans="1:4" x14ac:dyDescent="0.35">
      <c r="A30" s="13" t="s">
        <v>90</v>
      </c>
      <c r="B30" s="25">
        <f>B28-B29</f>
        <v>183</v>
      </c>
      <c r="C30" s="25">
        <f t="shared" ref="C30:D30" si="12">C28-C29</f>
        <v>57</v>
      </c>
      <c r="D30" s="25">
        <f t="shared" si="12"/>
        <v>105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zoomScale="70" zoomScaleNormal="70" workbookViewId="0">
      <selection activeCell="B5" sqref="B5"/>
    </sheetView>
  </sheetViews>
  <sheetFormatPr baseColWidth="10" defaultColWidth="11.453125" defaultRowHeight="14.5" x14ac:dyDescent="0.35"/>
  <cols>
    <col min="1" max="1" width="57.54296875" customWidth="1"/>
    <col min="2" max="2" width="10.453125" bestFit="1" customWidth="1"/>
  </cols>
  <sheetData>
    <row r="1" spans="1:5" ht="15.5" x14ac:dyDescent="0.35">
      <c r="A1" s="32" t="s">
        <v>108</v>
      </c>
      <c r="B1" s="5" t="s">
        <v>58</v>
      </c>
      <c r="C1" s="31" t="s">
        <v>59</v>
      </c>
      <c r="D1" s="31" t="s">
        <v>60</v>
      </c>
    </row>
    <row r="2" spans="1:5" ht="15.5" x14ac:dyDescent="0.35">
      <c r="A2" s="6" t="s">
        <v>100</v>
      </c>
      <c r="B2" s="8">
        <f>('Compte de resultat'!B30/Actif!B28)*100</f>
        <v>4.6624203821656049</v>
      </c>
      <c r="C2" s="8">
        <f>('Compte de resultat'!C30/Actif!C28)*100</f>
        <v>1.5518649605227335</v>
      </c>
      <c r="D2" s="8">
        <f>('Compte de resultat'!D30/Actif!D28)*100</f>
        <v>3.1588447653429599</v>
      </c>
    </row>
    <row r="3" spans="1:5" ht="15.5" x14ac:dyDescent="0.35">
      <c r="A3" s="6" t="s">
        <v>101</v>
      </c>
      <c r="B3" s="8">
        <f>('Compte de resultat'!B30/Passif!B10)*100</f>
        <v>11.883116883116882</v>
      </c>
      <c r="C3" s="8">
        <f>('Compte de resultat'!C30/Passif!C10)*100</f>
        <v>4.0311173974540306</v>
      </c>
      <c r="D3" s="8">
        <f>('Compte de resultat'!D30/Passif!D10)*100</f>
        <v>7.1672354948805461</v>
      </c>
    </row>
    <row r="4" spans="1:5" s="3" customFormat="1" ht="18.5" x14ac:dyDescent="0.45">
      <c r="A4" s="4" t="s">
        <v>102</v>
      </c>
      <c r="B4" s="5" t="s">
        <v>58</v>
      </c>
      <c r="C4" s="31" t="s">
        <v>59</v>
      </c>
      <c r="D4" s="31" t="s">
        <v>60</v>
      </c>
    </row>
    <row r="5" spans="1:5" ht="15.5" x14ac:dyDescent="0.35">
      <c r="A5" s="6" t="s">
        <v>91</v>
      </c>
      <c r="B5" s="8">
        <f>Actif!B27/Passif!B30</f>
        <v>0.48021390374331552</v>
      </c>
      <c r="C5" s="8">
        <f>Actif!C27/Passif!C30</f>
        <v>0.44994499449944997</v>
      </c>
      <c r="D5" s="8">
        <f>Actif!D27/Passif!D30</f>
        <v>0.59570661896243293</v>
      </c>
    </row>
    <row r="6" spans="1:5" ht="15.5" x14ac:dyDescent="0.35">
      <c r="A6" s="6" t="s">
        <v>92</v>
      </c>
      <c r="B6" s="8">
        <f>(Actif!B27-Actif!B17)/Passif!B30</f>
        <v>0.40962566844919784</v>
      </c>
      <c r="C6" s="8">
        <f>(Actif!C27-Actif!C17)/Passif!C30</f>
        <v>0.34983498349834985</v>
      </c>
      <c r="D6" s="8">
        <f>(Actif!D27-Actif!D17)/Passif!D30</f>
        <v>0.51878354203935595</v>
      </c>
    </row>
    <row r="7" spans="1:5" ht="18.5" x14ac:dyDescent="0.35">
      <c r="A7" s="4" t="s">
        <v>103</v>
      </c>
      <c r="B7" s="5" t="s">
        <v>58</v>
      </c>
      <c r="C7" s="31" t="s">
        <v>59</v>
      </c>
      <c r="D7" s="31" t="s">
        <v>60</v>
      </c>
    </row>
    <row r="8" spans="1:5" ht="15.5" x14ac:dyDescent="0.35">
      <c r="A8" s="6" t="s">
        <v>93</v>
      </c>
      <c r="B8" s="8">
        <f>Passif!B31/Passif!B10</f>
        <v>2.5487012987012987</v>
      </c>
      <c r="C8" s="8">
        <f>Passif!C31/Passif!C10</f>
        <v>2.5975954738330977</v>
      </c>
      <c r="D8" s="8">
        <f>Passif!D31/Passif!D10</f>
        <v>2.2689419795221841</v>
      </c>
    </row>
    <row r="9" spans="1:5" ht="15.5" x14ac:dyDescent="0.35">
      <c r="A9" s="6" t="s">
        <v>94</v>
      </c>
      <c r="B9" s="8">
        <f>'Compte de resultat'!B22/'Compte de resultat'!B26</f>
        <v>3.103448275862069</v>
      </c>
      <c r="C9" s="8">
        <f>'Compte de resultat'!C22/'Compte de resultat'!C26</f>
        <v>1.4212765957446809</v>
      </c>
      <c r="D9" s="8">
        <f>'Compte de resultat'!D22/'Compte de resultat'!D26</f>
        <v>2.3652694610778444</v>
      </c>
    </row>
    <row r="10" spans="1:5" ht="15.5" x14ac:dyDescent="0.35">
      <c r="A10" s="7" t="s">
        <v>104</v>
      </c>
      <c r="B10" s="5" t="s">
        <v>58</v>
      </c>
      <c r="C10" s="31" t="s">
        <v>59</v>
      </c>
      <c r="D10" s="31" t="s">
        <v>60</v>
      </c>
    </row>
    <row r="11" spans="1:5" ht="15.5" x14ac:dyDescent="0.35">
      <c r="A11" s="6" t="s">
        <v>95</v>
      </c>
      <c r="B11" s="8">
        <f>(('Compte de resultat'!B3-'Compte de resultat'!B11)/'Compte de resultat'!B3)*100</f>
        <v>25.373134328358208</v>
      </c>
      <c r="C11" s="8">
        <f>(('Compte de resultat'!C3-'Compte de resultat'!C11)/'Compte de resultat'!C3)*100</f>
        <v>21.656686626746506</v>
      </c>
      <c r="D11" s="8">
        <f>(('Compte de resultat'!D3-'Compte de resultat'!D11)/'Compte de resultat'!D3)*100</f>
        <v>23.857868020304569</v>
      </c>
    </row>
    <row r="12" spans="1:5" ht="15.5" x14ac:dyDescent="0.35">
      <c r="A12" s="6" t="s">
        <v>96</v>
      </c>
      <c r="B12" s="8">
        <f>('Compte de resultat'!B22/'Compte de resultat'!B3)*100</f>
        <v>19.189765458422176</v>
      </c>
      <c r="C12" s="8">
        <f>('Compte de resultat'!C22/'Compte de resultat'!C3)*100</f>
        <v>16.666666666666664</v>
      </c>
      <c r="D12" s="8">
        <f>('Compte de resultat'!D22/'Compte de resultat'!D3)*100</f>
        <v>20.050761421319795</v>
      </c>
    </row>
    <row r="13" spans="1:5" ht="15.5" x14ac:dyDescent="0.35">
      <c r="A13" s="6" t="s">
        <v>97</v>
      </c>
      <c r="B13" s="8">
        <f>('Compte de resultat'!B30/'Compte de resultat'!B3)*100</f>
        <v>7.8038379530916844</v>
      </c>
      <c r="C13" s="8">
        <f>('Compte de resultat'!C30/'Compte de resultat'!C3)*100</f>
        <v>2.8443113772455089</v>
      </c>
      <c r="D13" s="8">
        <f>('Compte de resultat'!D30/'Compte de resultat'!D3)*100</f>
        <v>5.3299492385786804</v>
      </c>
    </row>
    <row r="14" spans="1:5" ht="15.5" x14ac:dyDescent="0.35">
      <c r="A14" s="7" t="s">
        <v>105</v>
      </c>
      <c r="B14" s="5" t="s">
        <v>58</v>
      </c>
      <c r="C14" s="31" t="s">
        <v>59</v>
      </c>
      <c r="D14" s="31" t="s">
        <v>60</v>
      </c>
    </row>
    <row r="15" spans="1:5" ht="15.5" x14ac:dyDescent="0.35">
      <c r="A15" s="6" t="s">
        <v>98</v>
      </c>
      <c r="B15" s="8">
        <f>'Compte de resultat'!B3/Actif!B28</f>
        <v>0.59745222929936304</v>
      </c>
      <c r="C15" s="8">
        <f>'Compte de resultat'!C3/Actif!C28</f>
        <v>0.54560304927851888</v>
      </c>
      <c r="D15" s="8">
        <f>'Compte de resultat'!D3/Actif!D28</f>
        <v>0.59265944645006019</v>
      </c>
    </row>
    <row r="16" spans="1:5" ht="15.5" x14ac:dyDescent="0.35">
      <c r="A16" s="6" t="s">
        <v>99</v>
      </c>
      <c r="B16" s="30">
        <f>(Actif!B20/'Compte de resultat'!B3)*365</f>
        <v>51.987206823027719</v>
      </c>
      <c r="C16" s="30">
        <f>(Actif!C20/'Compte de resultat'!C3)*365</f>
        <v>50.633732534930139</v>
      </c>
      <c r="D16" s="30">
        <f>(Actif!D20/'Compte de resultat'!D3)*365</f>
        <v>47.246192893401016</v>
      </c>
      <c r="E16" t="s">
        <v>106</v>
      </c>
    </row>
    <row r="20" spans="1:1" x14ac:dyDescent="0.35">
      <c r="A20" s="28" t="s">
        <v>107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Actif</vt:lpstr>
      <vt:lpstr>Passif</vt:lpstr>
      <vt:lpstr>Compte de resultat</vt:lpstr>
      <vt:lpstr>Ratios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Pelba Jeremie</dc:creator>
  <cp:lastModifiedBy>24174835631</cp:lastModifiedBy>
  <dcterms:created xsi:type="dcterms:W3CDTF">2025-03-06T11:45:42Z</dcterms:created>
  <dcterms:modified xsi:type="dcterms:W3CDTF">2025-03-22T10:37:30Z</dcterms:modified>
</cp:coreProperties>
</file>