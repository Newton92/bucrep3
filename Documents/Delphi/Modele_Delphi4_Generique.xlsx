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ssa PEROU\Documents\Bilans Divers Suite 1\"/>
    </mc:Choice>
  </mc:AlternateContent>
  <xr:revisionPtr revIDLastSave="0" documentId="8_{E63F1002-D0AE-4978-AC2A-5EB95B1BB14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 de Bord" sheetId="1" r:id="rId1"/>
    <sheet name="Calcul &amp; Simulation" sheetId="2" r:id="rId2"/>
    <sheet name="Barème &amp; Réfé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2" l="1"/>
  <c r="D7" i="2"/>
  <c r="D6" i="2"/>
  <c r="D5" i="2"/>
  <c r="D9" i="2" s="1"/>
  <c r="B15" i="2" l="1"/>
  <c r="B8" i="1" s="1"/>
  <c r="B14" i="2"/>
  <c r="B7" i="1" s="1"/>
  <c r="B13" i="2"/>
  <c r="B6" i="1" s="1"/>
  <c r="B5" i="1"/>
</calcChain>
</file>

<file path=xl/sharedStrings.xml><?xml version="1.0" encoding="utf-8"?>
<sst xmlns="http://schemas.openxmlformats.org/spreadsheetml/2006/main" count="49" uniqueCount="45">
  <si>
    <t>MODÈLE GÉNÉRIQUE - SCORE &amp; COTE DE DÉFAILLANCE (DELPHI 4)</t>
  </si>
  <si>
    <t>Synthèse des Résultats Simulés</t>
  </si>
  <si>
    <t>Indicateur Clé</t>
  </si>
  <si>
    <t>Valeur Simulée</t>
  </si>
  <si>
    <t>Interprétation du Modèle</t>
  </si>
  <si>
    <t>Score Delphi 4 (0-100)</t>
  </si>
  <si>
    <t>Score global pondéré calculé</t>
  </si>
  <si>
    <t>Cote de Défaillance (1:X)</t>
  </si>
  <si>
    <t>Ratio de solvabilité / entreprises saines</t>
  </si>
  <si>
    <t>Probabilité de Défaillance (12 mois)</t>
  </si>
  <si>
    <t>Risque estimé sur 12 mois</t>
  </si>
  <si>
    <t>Tranche de Risque</t>
  </si>
  <si>
    <t>Appréciation qualitative du risque</t>
  </si>
  <si>
    <t>MOTEUR DE CALCUL &amp; PONDÉRATION DES FACTEURS</t>
  </si>
  <si>
    <t>Paramètres d'Évaluation (Modifiable)</t>
  </si>
  <si>
    <t>Facteur d'Évaluation (Critères Delphi 4)</t>
  </si>
  <si>
    <t>Pondération</t>
  </si>
  <si>
    <t>Note Attribuée (0-100)</t>
  </si>
  <si>
    <t>Score Pondéré</t>
  </si>
  <si>
    <t>1. Informations Défavorables &amp; Incidents (Jugements, Avis négatifs)</t>
  </si>
  <si>
    <t>2. Stabilité de l'Entité &amp; Ancienneté d'Activité</t>
  </si>
  <si>
    <t>3. Comportement de Paiement &amp; Historique Fournisseurs (Ledger)</t>
  </si>
  <si>
    <t>4. Profil des Dirigeants &amp; Données Connexes (Principals)</t>
  </si>
  <si>
    <t>Score Delphi 4 Global (Somme Pondérée)</t>
  </si>
  <si>
    <t>Résultats Dynamiques (Basés sur le Score Global)</t>
  </si>
  <si>
    <t>Probabilité de Défaillance (%)</t>
  </si>
  <si>
    <t>TABLE DE CORRESPONDANCE DES TRANCHES DE RISQUE</t>
  </si>
  <si>
    <t>Tranche de Score</t>
  </si>
  <si>
    <t>Niveau de Risque</t>
  </si>
  <si>
    <t>75.0 - 100.0</t>
  </si>
  <si>
    <t>Très Faible / Faible Risque</t>
  </si>
  <si>
    <t>45.0:1</t>
  </si>
  <si>
    <t>1.5%</t>
  </si>
  <si>
    <t>50.0 - 74.9</t>
  </si>
  <si>
    <t>Risque Moyen</t>
  </si>
  <si>
    <t>25.4:1</t>
  </si>
  <si>
    <t>3.8%</t>
  </si>
  <si>
    <t>25.0 - 49.9</t>
  </si>
  <si>
    <t>Risque Élevé</t>
  </si>
  <si>
    <t>10.2:1</t>
  </si>
  <si>
    <t>9.0%</t>
  </si>
  <si>
    <t>0.0 - 24.9</t>
  </si>
  <si>
    <t>Risque Maximum</t>
  </si>
  <si>
    <t>3.1:1</t>
  </si>
  <si>
    <t>25.0%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</si>
</sst>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b/>
      <sz val="12"/>
      <color rgb="FF1B365D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2" fontId="4" fillId="0" borderId="1" xfId="0" applyNumberFormat="1" applyFont="1" applyBorder="1"/>
    <xf numFmtId="0" fontId="5" fillId="3" borderId="1" xfId="0" applyFont="1" applyFill="1" applyBorder="1"/>
    <xf numFmtId="0" fontId="0" fillId="3" borderId="1" xfId="0" applyFill="1" applyBorder="1"/>
    <xf numFmtId="2" fontId="5" fillId="3" borderId="1" xfId="0" applyNumberFormat="1" applyFont="1" applyFill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1" max="1" width="62" customWidth="1"/>
    <col min="2" max="2" width="31" customWidth="1"/>
    <col min="3" max="3" width="46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</row>
    <row r="4" spans="1:3" x14ac:dyDescent="0.3">
      <c r="A4" s="3" t="s">
        <v>2</v>
      </c>
      <c r="B4" s="3" t="s">
        <v>3</v>
      </c>
      <c r="C4" s="3" t="s">
        <v>4</v>
      </c>
    </row>
    <row r="5" spans="1:3" x14ac:dyDescent="0.3">
      <c r="A5" s="4" t="s">
        <v>5</v>
      </c>
      <c r="B5" s="5">
        <f>'Calcul &amp; Simulation'!D9</f>
        <v>59</v>
      </c>
      <c r="C5" s="6" t="s">
        <v>6</v>
      </c>
    </row>
    <row r="6" spans="1:3" x14ac:dyDescent="0.3">
      <c r="A6" s="4" t="s">
        <v>7</v>
      </c>
      <c r="B6" s="5" t="str">
        <f>'Calcul &amp; Simulation'!B13</f>
        <v>25.4:1</v>
      </c>
      <c r="C6" s="6" t="s">
        <v>8</v>
      </c>
    </row>
    <row r="7" spans="1:3" x14ac:dyDescent="0.3">
      <c r="A7" s="4" t="s">
        <v>9</v>
      </c>
      <c r="B7" s="7">
        <f>'Calcul &amp; Simulation'!B14</f>
        <v>3.7999999999999999E-2</v>
      </c>
      <c r="C7" s="6" t="s">
        <v>10</v>
      </c>
    </row>
    <row r="8" spans="1:3" x14ac:dyDescent="0.3">
      <c r="A8" s="4" t="s">
        <v>11</v>
      </c>
      <c r="B8" s="5" t="str">
        <f>'Calcul &amp; Simulation'!B15</f>
        <v>Risque Moyen</v>
      </c>
      <c r="C8" s="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C9" sqref="C9"/>
    </sheetView>
  </sheetViews>
  <sheetFormatPr baseColWidth="10" defaultColWidth="8.88671875" defaultRowHeight="14.4" x14ac:dyDescent="0.3"/>
  <cols>
    <col min="1" max="1" width="72" customWidth="1"/>
    <col min="2" max="2" width="121" customWidth="1"/>
    <col min="3" max="3" width="27" customWidth="1"/>
    <col min="4" max="4" width="18" customWidth="1"/>
  </cols>
  <sheetData>
    <row r="1" spans="1:4" ht="21" x14ac:dyDescent="0.4">
      <c r="A1" s="1" t="s">
        <v>13</v>
      </c>
    </row>
    <row r="3" spans="1:4" ht="15.6" x14ac:dyDescent="0.3">
      <c r="A3" s="2" t="s">
        <v>14</v>
      </c>
    </row>
    <row r="4" spans="1:4" x14ac:dyDescent="0.3">
      <c r="A4" s="3" t="s">
        <v>15</v>
      </c>
      <c r="B4" s="3" t="s">
        <v>16</v>
      </c>
      <c r="C4" s="3" t="s">
        <v>17</v>
      </c>
      <c r="D4" s="3" t="s">
        <v>18</v>
      </c>
    </row>
    <row r="5" spans="1:4" x14ac:dyDescent="0.3">
      <c r="A5" s="6" t="s">
        <v>19</v>
      </c>
      <c r="B5" s="8">
        <v>0.35</v>
      </c>
      <c r="C5" s="9">
        <v>70</v>
      </c>
      <c r="D5" s="9">
        <f>B5*C5</f>
        <v>24.5</v>
      </c>
    </row>
    <row r="6" spans="1:4" x14ac:dyDescent="0.3">
      <c r="A6" s="6" t="s">
        <v>20</v>
      </c>
      <c r="B6" s="8">
        <v>0.3</v>
      </c>
      <c r="C6" s="9">
        <v>50</v>
      </c>
      <c r="D6" s="9">
        <f>B6*C6</f>
        <v>15</v>
      </c>
    </row>
    <row r="7" spans="1:4" x14ac:dyDescent="0.3">
      <c r="A7" s="6" t="s">
        <v>21</v>
      </c>
      <c r="B7" s="8">
        <v>0.2</v>
      </c>
      <c r="C7" s="9">
        <v>60</v>
      </c>
      <c r="D7" s="9">
        <f>B7*C7</f>
        <v>12</v>
      </c>
    </row>
    <row r="8" spans="1:4" x14ac:dyDescent="0.3">
      <c r="A8" s="6" t="s">
        <v>22</v>
      </c>
      <c r="B8" s="8">
        <v>0.15</v>
      </c>
      <c r="C8" s="9">
        <v>50</v>
      </c>
      <c r="D8" s="9">
        <f>B8*C8</f>
        <v>7.5</v>
      </c>
    </row>
    <row r="9" spans="1:4" x14ac:dyDescent="0.3">
      <c r="A9" s="10" t="s">
        <v>23</v>
      </c>
      <c r="B9" s="11"/>
      <c r="C9" s="11"/>
      <c r="D9" s="12">
        <f>SUM(D5:D8)</f>
        <v>59</v>
      </c>
    </row>
    <row r="11" spans="1:4" ht="15.6" x14ac:dyDescent="0.3">
      <c r="A11" s="2" t="s">
        <v>24</v>
      </c>
    </row>
    <row r="13" spans="1:4" x14ac:dyDescent="0.3">
      <c r="A13" s="4" t="s">
        <v>7</v>
      </c>
      <c r="B13" s="13" t="str">
        <f>IF(D9&gt;=75, "45.0:1", IF(D9&gt;=50, "25.4:1", IF(D9&gt;=25, "10.2:1", "3.1:1")))</f>
        <v>25.4:1</v>
      </c>
    </row>
    <row r="14" spans="1:4" x14ac:dyDescent="0.3">
      <c r="A14" s="4" t="s">
        <v>25</v>
      </c>
      <c r="B14" s="14">
        <f>IF(D9&gt;=75, 0.015, IF(D9&gt;=50, 0.038, IF(D9&gt;=25, 0.09, 0.25)))</f>
        <v>3.7999999999999999E-2</v>
      </c>
    </row>
    <row r="15" spans="1:4" x14ac:dyDescent="0.3">
      <c r="A15" s="4" t="s">
        <v>11</v>
      </c>
      <c r="B15" s="13" t="str">
        <f>IF(D9&gt;=75, "Très Faible / Faible Risque", IF(D9&gt;=50, "Risque Moyen", IF(D9&gt;=25, "Risque Élevé", "Risque Maximum")))</f>
        <v>Risque Moyen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D7" sqref="D7"/>
    </sheetView>
  </sheetViews>
  <sheetFormatPr baseColWidth="10" defaultColWidth="8.88671875" defaultRowHeight="14.4" x14ac:dyDescent="0.3"/>
  <cols>
    <col min="1" max="1" width="51" customWidth="1"/>
    <col min="2" max="2" width="32" customWidth="1"/>
    <col min="3" max="3" width="30" customWidth="1"/>
    <col min="4" max="4" width="41" customWidth="1"/>
  </cols>
  <sheetData>
    <row r="1" spans="1:4" ht="21" x14ac:dyDescent="0.4">
      <c r="A1" s="1" t="s">
        <v>26</v>
      </c>
    </row>
    <row r="3" spans="1:4" x14ac:dyDescent="0.3">
      <c r="A3" s="3" t="s">
        <v>27</v>
      </c>
      <c r="B3" s="3" t="s">
        <v>28</v>
      </c>
      <c r="C3" s="3" t="s">
        <v>7</v>
      </c>
      <c r="D3" s="3" t="s">
        <v>9</v>
      </c>
    </row>
    <row r="4" spans="1:4" x14ac:dyDescent="0.3">
      <c r="A4" s="5" t="s">
        <v>29</v>
      </c>
      <c r="B4" s="5" t="s">
        <v>30</v>
      </c>
      <c r="C4" s="5" t="s">
        <v>31</v>
      </c>
      <c r="D4" s="5" t="s">
        <v>32</v>
      </c>
    </row>
    <row r="5" spans="1:4" x14ac:dyDescent="0.3">
      <c r="A5" s="5" t="s">
        <v>33</v>
      </c>
      <c r="B5" s="5" t="s">
        <v>34</v>
      </c>
      <c r="C5" s="5" t="s">
        <v>35</v>
      </c>
      <c r="D5" s="5" t="s">
        <v>36</v>
      </c>
    </row>
    <row r="6" spans="1:4" x14ac:dyDescent="0.3">
      <c r="A6" s="5" t="s">
        <v>37</v>
      </c>
      <c r="B6" s="5" t="s">
        <v>38</v>
      </c>
      <c r="C6" s="5" t="s">
        <v>39</v>
      </c>
      <c r="D6" s="5" t="s">
        <v>40</v>
      </c>
    </row>
    <row r="7" spans="1:4" x14ac:dyDescent="0.3">
      <c r="A7" s="5" t="s">
        <v>41</v>
      </c>
      <c r="B7" s="5" t="s">
        <v>42</v>
      </c>
      <c r="C7" s="5" t="s">
        <v>43</v>
      </c>
      <c r="D7" s="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Calcul &amp; Simulation</vt:lpstr>
      <vt:lpstr>Barème &amp; Référence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ISSA PEROU</cp:lastModifiedBy>
  <dcterms:created xsi:type="dcterms:W3CDTF">2026-10-24T09:26:33Z</dcterms:created>
  <dcterms:modified xsi:type="dcterms:W3CDTF">2026-10-24T09:30:42Z</dcterms:modified>
</cp:coreProperties>
</file>